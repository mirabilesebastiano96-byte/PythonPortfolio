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ano\Documents\"/>
    </mc:Choice>
  </mc:AlternateContent>
  <xr:revisionPtr revIDLastSave="0" documentId="13_ncr:1_{4E87A286-B595-4D7E-9329-EB6758C85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2" i="1"/>
  <c r="S2" i="1"/>
  <c r="R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</calcChain>
</file>

<file path=xl/sharedStrings.xml><?xml version="1.0" encoding="utf-8"?>
<sst xmlns="http://schemas.openxmlformats.org/spreadsheetml/2006/main" count="20" uniqueCount="20">
  <si>
    <t>DATE</t>
  </si>
  <si>
    <t>Mkt-RF</t>
  </si>
  <si>
    <t>SMB</t>
  </si>
  <si>
    <t>HML</t>
  </si>
  <si>
    <t>RF</t>
  </si>
  <si>
    <t>BSX</t>
  </si>
  <si>
    <t>GILD</t>
  </si>
  <si>
    <t>ISRG</t>
  </si>
  <si>
    <t>PFE</t>
  </si>
  <si>
    <t>PODD</t>
  </si>
  <si>
    <t>BSX-RF</t>
  </si>
  <si>
    <t>GILD-RF</t>
  </si>
  <si>
    <t>ISRG-RF</t>
  </si>
  <si>
    <t>PFE-RF</t>
  </si>
  <si>
    <t>PODD-RF</t>
  </si>
  <si>
    <t>GILD S-Score</t>
  </si>
  <si>
    <t>PODD S-Score</t>
  </si>
  <si>
    <t>BSX S-Score</t>
  </si>
  <si>
    <t>ISRG S-Score</t>
  </si>
  <si>
    <t>PFE S-Score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</si>
</sst>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"/>
  <sheetViews>
    <sheetView tabSelected="1" workbookViewId="0">
      <selection activeCell="F2" sqref="F2"/>
    </sheetView>
  </sheetViews>
  <sheetFormatPr defaultRowHeight="14.4" x14ac:dyDescent="0.3"/>
  <cols>
    <col min="1" max="1" width="10.33203125" style="2" bestFit="1" customWidth="1"/>
    <col min="2" max="2" width="11.6640625" style="3" bestFit="1" customWidth="1"/>
    <col min="3" max="3" width="12.6640625" style="3" bestFit="1" customWidth="1"/>
    <col min="4" max="4" width="11" style="3" bestFit="1" customWidth="1"/>
    <col min="5" max="5" width="11.6640625" style="3" bestFit="1" customWidth="1"/>
    <col min="6" max="6" width="10.77734375" style="3" bestFit="1" customWidth="1"/>
    <col min="7" max="7" width="7.109375" style="3" bestFit="1" customWidth="1"/>
    <col min="8" max="8" width="5.6640625" style="3" bestFit="1" customWidth="1"/>
    <col min="9" max="9" width="6.6640625" style="3" bestFit="1" customWidth="1"/>
    <col min="10" max="10" width="5" style="3" bestFit="1" customWidth="1"/>
    <col min="11" max="12" width="5.109375" style="3" bestFit="1" customWidth="1"/>
    <col min="13" max="13" width="8.77734375" style="3" customWidth="1"/>
    <col min="14" max="14" width="5.109375" style="3" bestFit="1" customWidth="1"/>
    <col min="15" max="15" width="5.88671875" style="3" bestFit="1" customWidth="1"/>
  </cols>
  <sheetData>
    <row r="1" spans="1:20" s="1" customFormat="1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">
      <c r="A2" s="2">
        <v>42064</v>
      </c>
      <c r="B2" s="4">
        <v>61.039228000000001</v>
      </c>
      <c r="C2" s="4">
        <v>11.968999999999999</v>
      </c>
      <c r="D2" s="4">
        <v>50.217475</v>
      </c>
      <c r="E2" s="4">
        <v>37.231276000000001</v>
      </c>
      <c r="F2" s="4">
        <v>45.534047000000001</v>
      </c>
      <c r="G2" s="3">
        <v>-1.1100000000000001</v>
      </c>
      <c r="H2" s="3">
        <v>3.05</v>
      </c>
      <c r="I2" s="3">
        <v>-0.38</v>
      </c>
      <c r="J2" s="3">
        <v>0</v>
      </c>
      <c r="K2" s="4">
        <v>5.0295881695626203E-2</v>
      </c>
      <c r="L2" s="4">
        <v>-5.2158848810703699E-2</v>
      </c>
      <c r="M2" s="4">
        <v>1.0059974363404001E-2</v>
      </c>
      <c r="N2" s="4">
        <v>2.2637015826083701E-2</v>
      </c>
      <c r="O2" s="4">
        <v>5.1055750244444802E-2</v>
      </c>
      <c r="P2" s="5">
        <f>K2-J2</f>
        <v>5.0295881695626203E-2</v>
      </c>
      <c r="Q2" s="5">
        <f>L2-J2</f>
        <v>-5.2158848810703699E-2</v>
      </c>
      <c r="R2" s="5">
        <f>M2-J2</f>
        <v>1.0059974363404001E-2</v>
      </c>
      <c r="S2" s="5">
        <f>N2-J2</f>
        <v>2.2637015826083701E-2</v>
      </c>
      <c r="T2" s="5">
        <f>O2-J2</f>
        <v>5.1055750244444802E-2</v>
      </c>
    </row>
    <row r="3" spans="1:20" x14ac:dyDescent="0.3">
      <c r="A3" s="2">
        <v>42095</v>
      </c>
      <c r="B3" s="4">
        <v>61.179254999999998</v>
      </c>
      <c r="C3" s="4">
        <v>11.968999999999999</v>
      </c>
      <c r="D3" s="4">
        <v>50.730441999999996</v>
      </c>
      <c r="E3" s="4">
        <v>37.350216000000003</v>
      </c>
      <c r="F3" s="4">
        <v>44.677652000000002</v>
      </c>
      <c r="G3" s="3">
        <v>0.59</v>
      </c>
      <c r="H3" s="3">
        <v>-2.99</v>
      </c>
      <c r="I3" s="3">
        <v>1.8</v>
      </c>
      <c r="J3" s="3">
        <v>0</v>
      </c>
      <c r="K3" s="4">
        <v>3.9436447788292403E-3</v>
      </c>
      <c r="L3" s="4">
        <v>2.4253775726271899E-2</v>
      </c>
      <c r="M3" s="4">
        <v>-1.7919703277993599E-2</v>
      </c>
      <c r="N3" s="4">
        <v>-2.4719867493716099E-2</v>
      </c>
      <c r="O3" s="4">
        <v>-0.104947473846731</v>
      </c>
      <c r="P3" s="5">
        <f t="shared" ref="P3:P66" si="0">K3-J3</f>
        <v>3.9436447788292403E-3</v>
      </c>
      <c r="Q3" s="5">
        <f t="shared" ref="Q3:Q66" si="1">L3-J3</f>
        <v>2.4253775726271899E-2</v>
      </c>
      <c r="R3" s="5">
        <f t="shared" ref="R3:R66" si="2">M3-J3</f>
        <v>-1.7919703277993599E-2</v>
      </c>
      <c r="S3" s="5">
        <f t="shared" ref="S3:S66" si="3">N3-J3</f>
        <v>-2.4719867493716099E-2</v>
      </c>
      <c r="T3" s="5">
        <f t="shared" ref="T3:T66" si="4">O3-J3</f>
        <v>-0.104947473846731</v>
      </c>
    </row>
    <row r="4" spans="1:20" x14ac:dyDescent="0.3">
      <c r="A4" s="2">
        <v>42125</v>
      </c>
      <c r="B4" s="4">
        <v>61.781663999999999</v>
      </c>
      <c r="C4" s="4">
        <v>11.968999999999999</v>
      </c>
      <c r="D4" s="4">
        <v>49.983116000000003</v>
      </c>
      <c r="E4" s="4">
        <v>37.350216000000003</v>
      </c>
      <c r="F4" s="4">
        <v>45.192554000000001</v>
      </c>
      <c r="G4" s="3">
        <v>1.37</v>
      </c>
      <c r="H4" s="3">
        <v>0.95</v>
      </c>
      <c r="I4" s="3">
        <v>-1.1100000000000001</v>
      </c>
      <c r="J4" s="3">
        <v>0</v>
      </c>
      <c r="K4" s="4">
        <v>2.5252568498649E-2</v>
      </c>
      <c r="L4" s="4">
        <v>0.11700331114486601</v>
      </c>
      <c r="M4" s="4">
        <v>-1.6593471136364502E-2</v>
      </c>
      <c r="N4" s="4">
        <v>2.4167627042338099E-2</v>
      </c>
      <c r="O4" s="4">
        <v>-5.2931320050732297E-2</v>
      </c>
      <c r="P4" s="5">
        <f t="shared" si="0"/>
        <v>2.5252568498649E-2</v>
      </c>
      <c r="Q4" s="5">
        <f t="shared" si="1"/>
        <v>0.11700331114486601</v>
      </c>
      <c r="R4" s="5">
        <f t="shared" si="2"/>
        <v>-1.6593471136364502E-2</v>
      </c>
      <c r="S4" s="5">
        <f t="shared" si="3"/>
        <v>2.4167627042338099E-2</v>
      </c>
      <c r="T4" s="5">
        <f t="shared" si="4"/>
        <v>-5.2931320050732297E-2</v>
      </c>
    </row>
    <row r="5" spans="1:20" x14ac:dyDescent="0.3">
      <c r="A5" s="2">
        <v>42156</v>
      </c>
      <c r="B5" s="4">
        <v>61.534210999999999</v>
      </c>
      <c r="C5" s="4">
        <v>11.968999999999999</v>
      </c>
      <c r="D5" s="4">
        <v>49.412959000000001</v>
      </c>
      <c r="E5" s="4">
        <v>37.350216000000003</v>
      </c>
      <c r="F5" s="4">
        <v>46.007435999999998</v>
      </c>
      <c r="G5" s="3">
        <v>-1.52</v>
      </c>
      <c r="H5" s="3">
        <v>2.94</v>
      </c>
      <c r="I5" s="3">
        <v>-0.82</v>
      </c>
      <c r="J5" s="3">
        <v>0</v>
      </c>
      <c r="K5" s="4">
        <v>-3.11986688857471E-2</v>
      </c>
      <c r="L5" s="4">
        <v>4.2842990132475098E-2</v>
      </c>
      <c r="M5" s="4">
        <v>-6.66324200302559E-3</v>
      </c>
      <c r="N5" s="4">
        <v>-2.7124388856273399E-2</v>
      </c>
      <c r="O5" s="4">
        <v>9.6215043130906994E-2</v>
      </c>
      <c r="P5" s="5">
        <f t="shared" si="0"/>
        <v>-3.11986688857471E-2</v>
      </c>
      <c r="Q5" s="5">
        <f t="shared" si="1"/>
        <v>4.2842990132475098E-2</v>
      </c>
      <c r="R5" s="5">
        <f t="shared" si="2"/>
        <v>-6.66324200302559E-3</v>
      </c>
      <c r="S5" s="5">
        <f t="shared" si="3"/>
        <v>-2.7124388856273399E-2</v>
      </c>
      <c r="T5" s="5">
        <f t="shared" si="4"/>
        <v>9.6215043130906994E-2</v>
      </c>
    </row>
    <row r="6" spans="1:20" x14ac:dyDescent="0.3">
      <c r="A6" s="2">
        <v>42186</v>
      </c>
      <c r="B6" s="4">
        <v>60.740451999999998</v>
      </c>
      <c r="C6" s="4">
        <v>11.968999999999999</v>
      </c>
      <c r="D6" s="4">
        <v>49.681269</v>
      </c>
      <c r="E6" s="4">
        <v>37.350216000000003</v>
      </c>
      <c r="F6" s="4">
        <v>46.604300000000002</v>
      </c>
      <c r="G6" s="3">
        <v>1.57</v>
      </c>
      <c r="H6" s="3">
        <v>-4.17</v>
      </c>
      <c r="I6" s="3">
        <v>-4.16</v>
      </c>
      <c r="J6" s="3">
        <v>0</v>
      </c>
      <c r="K6" s="4">
        <v>-2.0339016657295199E-2</v>
      </c>
      <c r="L6" s="4">
        <v>1.03088511365472E-2</v>
      </c>
      <c r="M6" s="4">
        <v>0.10045411432825101</v>
      </c>
      <c r="N6" s="4">
        <v>7.5454932998211904E-2</v>
      </c>
      <c r="O6" s="4">
        <v>9.3578562115156805E-2</v>
      </c>
      <c r="P6" s="5">
        <f t="shared" si="0"/>
        <v>-2.0339016657295199E-2</v>
      </c>
      <c r="Q6" s="5">
        <f t="shared" si="1"/>
        <v>1.03088511365472E-2</v>
      </c>
      <c r="R6" s="5">
        <f t="shared" si="2"/>
        <v>0.10045411432825101</v>
      </c>
      <c r="S6" s="5">
        <f t="shared" si="3"/>
        <v>7.5454932998211904E-2</v>
      </c>
      <c r="T6" s="5">
        <f t="shared" si="4"/>
        <v>9.3578562115156805E-2</v>
      </c>
    </row>
    <row r="7" spans="1:20" x14ac:dyDescent="0.3">
      <c r="A7" s="2">
        <v>42217</v>
      </c>
      <c r="B7" s="4">
        <v>60.477297999999998</v>
      </c>
      <c r="C7" s="4">
        <v>12.866256999999999</v>
      </c>
      <c r="D7" s="4">
        <v>49.995125999999999</v>
      </c>
      <c r="E7" s="4">
        <v>37.350216000000003</v>
      </c>
      <c r="F7" s="4">
        <v>46.142428000000002</v>
      </c>
      <c r="G7" s="3">
        <v>-6.02</v>
      </c>
      <c r="H7" s="3">
        <v>0.37</v>
      </c>
      <c r="I7" s="3">
        <v>2.75</v>
      </c>
      <c r="J7" s="3">
        <v>0</v>
      </c>
      <c r="K7" s="4">
        <v>-3.4602097819484701E-2</v>
      </c>
      <c r="L7" s="4">
        <v>-0.10851875905543901</v>
      </c>
      <c r="M7" s="4">
        <v>-4.1675300659342898E-2</v>
      </c>
      <c r="N7" s="4">
        <v>-0.1064891510632</v>
      </c>
      <c r="O7" s="4">
        <v>-0.123340229579719</v>
      </c>
      <c r="P7" s="5">
        <f t="shared" si="0"/>
        <v>-3.4602097819484701E-2</v>
      </c>
      <c r="Q7" s="5">
        <f t="shared" si="1"/>
        <v>-0.10851875905543901</v>
      </c>
      <c r="R7" s="5">
        <f t="shared" si="2"/>
        <v>-4.1675300659342898E-2</v>
      </c>
      <c r="S7" s="5">
        <f t="shared" si="3"/>
        <v>-0.1064891510632</v>
      </c>
      <c r="T7" s="5">
        <f t="shared" si="4"/>
        <v>-0.123340229579719</v>
      </c>
    </row>
    <row r="8" spans="1:20" x14ac:dyDescent="0.3">
      <c r="A8" s="2">
        <v>42248</v>
      </c>
      <c r="B8" s="4">
        <v>60.200180000000003</v>
      </c>
      <c r="C8" s="4">
        <v>12.378323</v>
      </c>
      <c r="D8" s="4">
        <v>50.211908000000001</v>
      </c>
      <c r="E8" s="4">
        <v>37.350216000000003</v>
      </c>
      <c r="F8" s="4">
        <v>45.777366000000001</v>
      </c>
      <c r="G8" s="3">
        <v>-3.06</v>
      </c>
      <c r="H8" s="3">
        <v>-2.63</v>
      </c>
      <c r="I8" s="3">
        <v>0.55000000000000004</v>
      </c>
      <c r="J8" s="3">
        <v>0</v>
      </c>
      <c r="K8" s="4">
        <v>-1.9713257360696599E-2</v>
      </c>
      <c r="L8" s="4">
        <v>-6.5480279066569197E-2</v>
      </c>
      <c r="M8" s="4">
        <v>-0.100538169098908</v>
      </c>
      <c r="N8" s="4">
        <v>-1.7521468053711398E-2</v>
      </c>
      <c r="O8" s="4">
        <v>-0.12790304120361001</v>
      </c>
      <c r="P8" s="5">
        <f t="shared" si="0"/>
        <v>-1.9713257360696599E-2</v>
      </c>
      <c r="Q8" s="5">
        <f t="shared" si="1"/>
        <v>-6.5480279066569197E-2</v>
      </c>
      <c r="R8" s="5">
        <f t="shared" si="2"/>
        <v>-0.100538169098908</v>
      </c>
      <c r="S8" s="5">
        <f t="shared" si="3"/>
        <v>-1.7521468053711398E-2</v>
      </c>
      <c r="T8" s="5">
        <f t="shared" si="4"/>
        <v>-0.12790304120361001</v>
      </c>
    </row>
    <row r="9" spans="1:20" x14ac:dyDescent="0.3">
      <c r="A9" s="2">
        <v>42278</v>
      </c>
      <c r="B9" s="4">
        <v>60.215913999999998</v>
      </c>
      <c r="C9" s="4">
        <v>12.378323</v>
      </c>
      <c r="D9" s="4">
        <v>53.301673000000001</v>
      </c>
      <c r="E9" s="4">
        <v>37.350216000000003</v>
      </c>
      <c r="F9" s="4">
        <v>45.354109000000001</v>
      </c>
      <c r="G9" s="3">
        <v>7.75</v>
      </c>
      <c r="H9" s="3">
        <v>-1.9</v>
      </c>
      <c r="I9" s="3">
        <v>-0.47</v>
      </c>
      <c r="J9" s="3">
        <v>0</v>
      </c>
      <c r="K9" s="4">
        <v>0.11395495774658999</v>
      </c>
      <c r="L9" s="4">
        <v>0.10556924674099701</v>
      </c>
      <c r="M9" s="4">
        <v>8.0551757708177504E-2</v>
      </c>
      <c r="N9" s="4">
        <v>7.6727232332061801E-2</v>
      </c>
      <c r="O9" s="4">
        <v>0.153994588753989</v>
      </c>
      <c r="P9" s="5">
        <f t="shared" si="0"/>
        <v>0.11395495774658999</v>
      </c>
      <c r="Q9" s="5">
        <f t="shared" si="1"/>
        <v>0.10556924674099701</v>
      </c>
      <c r="R9" s="5">
        <f t="shared" si="2"/>
        <v>8.0551757708177504E-2</v>
      </c>
      <c r="S9" s="5">
        <f t="shared" si="3"/>
        <v>7.6727232332061801E-2</v>
      </c>
      <c r="T9" s="5">
        <f t="shared" si="4"/>
        <v>0.153994588753989</v>
      </c>
    </row>
    <row r="10" spans="1:20" x14ac:dyDescent="0.3">
      <c r="A10" s="2">
        <v>42309</v>
      </c>
      <c r="B10" s="4">
        <v>60.309032000000002</v>
      </c>
      <c r="C10" s="4">
        <v>12.378323</v>
      </c>
      <c r="D10" s="4">
        <v>52.328811999999999</v>
      </c>
      <c r="E10" s="4">
        <v>37.350216000000003</v>
      </c>
      <c r="F10" s="4">
        <v>44.344605999999999</v>
      </c>
      <c r="G10" s="3">
        <v>0.56999999999999995</v>
      </c>
      <c r="H10" s="3">
        <v>3.58</v>
      </c>
      <c r="I10" s="3">
        <v>-0.43</v>
      </c>
      <c r="J10" s="3">
        <v>0</v>
      </c>
      <c r="K10" s="4">
        <v>0</v>
      </c>
      <c r="L10" s="4">
        <v>-2.00688208711155E-2</v>
      </c>
      <c r="M10" s="4">
        <v>4.7160697936599702E-2</v>
      </c>
      <c r="N10" s="4">
        <v>-3.10467543778996E-2</v>
      </c>
      <c r="O10" s="4">
        <v>0.223745840114042</v>
      </c>
      <c r="P10" s="5">
        <f t="shared" si="0"/>
        <v>0</v>
      </c>
      <c r="Q10" s="5">
        <f t="shared" si="1"/>
        <v>-2.00688208711155E-2</v>
      </c>
      <c r="R10" s="5">
        <f t="shared" si="2"/>
        <v>4.7160697936599702E-2</v>
      </c>
      <c r="S10" s="5">
        <f t="shared" si="3"/>
        <v>-3.10467543778996E-2</v>
      </c>
      <c r="T10" s="5">
        <f t="shared" si="4"/>
        <v>0.223745840114042</v>
      </c>
    </row>
    <row r="11" spans="1:20" x14ac:dyDescent="0.3">
      <c r="A11" s="2">
        <v>42339</v>
      </c>
      <c r="B11" s="4">
        <v>60.554200999999999</v>
      </c>
      <c r="C11" s="4">
        <v>20.592473999999999</v>
      </c>
      <c r="D11" s="4">
        <v>47.743538000000001</v>
      </c>
      <c r="E11" s="4">
        <v>37.350216000000003</v>
      </c>
      <c r="F11" s="4">
        <v>45.872629000000003</v>
      </c>
      <c r="G11" s="3">
        <v>-2.15</v>
      </c>
      <c r="H11" s="3">
        <v>-2.8</v>
      </c>
      <c r="I11" s="3">
        <v>-2.57</v>
      </c>
      <c r="J11" s="3">
        <v>0.01</v>
      </c>
      <c r="K11" s="4">
        <v>8.7527265537248305E-3</v>
      </c>
      <c r="L11" s="4">
        <v>-4.5016905636270102E-2</v>
      </c>
      <c r="M11" s="4">
        <v>5.0267319306937099E-2</v>
      </c>
      <c r="N11" s="4">
        <v>-7.0018919360272901E-3</v>
      </c>
      <c r="O11" s="4">
        <v>3.3342476513131103E-2</v>
      </c>
      <c r="P11" s="5">
        <f t="shared" si="0"/>
        <v>-1.2472734462751697E-3</v>
      </c>
      <c r="Q11" s="5">
        <f t="shared" si="1"/>
        <v>-5.5016905636270104E-2</v>
      </c>
      <c r="R11" s="5">
        <f t="shared" si="2"/>
        <v>4.0267319306937097E-2</v>
      </c>
      <c r="S11" s="5">
        <f t="shared" si="3"/>
        <v>-1.7001891936027289E-2</v>
      </c>
      <c r="T11" s="5">
        <f t="shared" si="4"/>
        <v>2.3342476513131101E-2</v>
      </c>
    </row>
    <row r="12" spans="1:20" x14ac:dyDescent="0.3">
      <c r="A12" s="2">
        <v>42370</v>
      </c>
      <c r="B12" s="4">
        <v>59.876964000000001</v>
      </c>
      <c r="C12" s="4">
        <v>21.408926000000001</v>
      </c>
      <c r="D12" s="4">
        <v>47.657665999999999</v>
      </c>
      <c r="E12" s="4">
        <v>37.350216000000003</v>
      </c>
      <c r="F12" s="4">
        <v>44.484760000000001</v>
      </c>
      <c r="G12" s="3">
        <v>-5.74</v>
      </c>
      <c r="H12" s="3">
        <v>-3.4</v>
      </c>
      <c r="I12" s="3">
        <v>2.08</v>
      </c>
      <c r="J12" s="3">
        <v>0.01</v>
      </c>
      <c r="K12" s="4">
        <v>-4.9349231076831701E-2</v>
      </c>
      <c r="L12" s="4">
        <v>-0.17621953715810401</v>
      </c>
      <c r="M12" s="4">
        <v>-9.7224281799739298E-3</v>
      </c>
      <c r="N12" s="4">
        <v>-5.5452289285726798E-2</v>
      </c>
      <c r="O12" s="4">
        <v>-0.122454400950798</v>
      </c>
      <c r="P12" s="5">
        <f t="shared" si="0"/>
        <v>-5.9349231076831703E-2</v>
      </c>
      <c r="Q12" s="5">
        <f t="shared" si="1"/>
        <v>-0.18621953715810402</v>
      </c>
      <c r="R12" s="5">
        <f t="shared" si="2"/>
        <v>-1.9722428179973932E-2</v>
      </c>
      <c r="S12" s="5">
        <f t="shared" si="3"/>
        <v>-6.54522892857268E-2</v>
      </c>
      <c r="T12" s="5">
        <f t="shared" si="4"/>
        <v>-0.132454400950798</v>
      </c>
    </row>
    <row r="13" spans="1:20" x14ac:dyDescent="0.3">
      <c r="A13" s="2">
        <v>42401</v>
      </c>
      <c r="B13" s="4">
        <v>59.789419000000002</v>
      </c>
      <c r="C13" s="4">
        <v>21.408926000000001</v>
      </c>
      <c r="D13" s="4">
        <v>47.098328000000002</v>
      </c>
      <c r="E13" s="4">
        <v>37.350216000000003</v>
      </c>
      <c r="F13" s="4">
        <v>45.011183000000003</v>
      </c>
      <c r="G13" s="3">
        <v>-0.06</v>
      </c>
      <c r="H13" s="3">
        <v>0.73</v>
      </c>
      <c r="I13" s="3">
        <v>-0.61</v>
      </c>
      <c r="J13" s="3">
        <v>0.02</v>
      </c>
      <c r="K13" s="4">
        <v>-3.1374850134956098E-2</v>
      </c>
      <c r="L13" s="4">
        <v>5.1204594550266803E-2</v>
      </c>
      <c r="M13" s="4">
        <v>4.1064981663003701E-2</v>
      </c>
      <c r="N13" s="4">
        <v>-2.6894427851780801E-2</v>
      </c>
      <c r="O13" s="4">
        <v>-7.6552166731931201E-2</v>
      </c>
      <c r="P13" s="5">
        <f t="shared" si="0"/>
        <v>-5.1374850134956102E-2</v>
      </c>
      <c r="Q13" s="5">
        <f t="shared" si="1"/>
        <v>3.1204594550266803E-2</v>
      </c>
      <c r="R13" s="5">
        <f t="shared" si="2"/>
        <v>2.1064981663003701E-2</v>
      </c>
      <c r="S13" s="5">
        <f t="shared" si="3"/>
        <v>-4.6894427851780801E-2</v>
      </c>
      <c r="T13" s="5">
        <f t="shared" si="4"/>
        <v>-9.6552166731931205E-2</v>
      </c>
    </row>
    <row r="14" spans="1:20" x14ac:dyDescent="0.3">
      <c r="A14" s="2">
        <v>42430</v>
      </c>
      <c r="B14" s="4">
        <v>58.739015999999999</v>
      </c>
      <c r="C14" s="4">
        <v>21.408926000000001</v>
      </c>
      <c r="D14" s="4">
        <v>47.342891000000002</v>
      </c>
      <c r="E14" s="4">
        <v>37.350216000000003</v>
      </c>
      <c r="F14" s="4">
        <v>44.507514</v>
      </c>
      <c r="G14" s="3">
        <v>6.95</v>
      </c>
      <c r="H14" s="3">
        <v>0.75</v>
      </c>
      <c r="I14" s="3">
        <v>1.22</v>
      </c>
      <c r="J14" s="3">
        <v>0.02</v>
      </c>
      <c r="K14" s="4">
        <v>0.107773850002415</v>
      </c>
      <c r="L14" s="4">
        <v>5.2836638679544599E-2</v>
      </c>
      <c r="M14" s="4">
        <v>6.7470610770734796E-2</v>
      </c>
      <c r="N14" s="4">
        <v>9.0327842659378901E-3</v>
      </c>
      <c r="O14" s="4">
        <v>8.2245447387803802E-2</v>
      </c>
      <c r="P14" s="5">
        <f t="shared" si="0"/>
        <v>8.7773850002414999E-2</v>
      </c>
      <c r="Q14" s="5">
        <f t="shared" si="1"/>
        <v>3.2836638679544602E-2</v>
      </c>
      <c r="R14" s="5">
        <f t="shared" si="2"/>
        <v>4.7470610770734792E-2</v>
      </c>
      <c r="S14" s="5">
        <f t="shared" si="3"/>
        <v>-1.096721573406211E-2</v>
      </c>
      <c r="T14" s="5">
        <f t="shared" si="4"/>
        <v>6.2245447387803798E-2</v>
      </c>
    </row>
    <row r="15" spans="1:20" x14ac:dyDescent="0.3">
      <c r="A15" s="2">
        <v>42461</v>
      </c>
      <c r="B15" s="4">
        <v>59.095368999999998</v>
      </c>
      <c r="C15" s="4">
        <v>21.408926000000001</v>
      </c>
      <c r="D15" s="4">
        <v>45.612706000000003</v>
      </c>
      <c r="E15" s="4">
        <v>37.350216000000003</v>
      </c>
      <c r="F15" s="4">
        <v>44.642871999999997</v>
      </c>
      <c r="G15" s="3">
        <v>0.92</v>
      </c>
      <c r="H15" s="3">
        <v>0.77</v>
      </c>
      <c r="I15" s="3">
        <v>3.22</v>
      </c>
      <c r="J15" s="3">
        <v>0.01</v>
      </c>
      <c r="K15" s="4">
        <v>0.16533762353276801</v>
      </c>
      <c r="L15" s="4">
        <v>-3.5106236222251203E-2</v>
      </c>
      <c r="M15" s="4">
        <v>4.2109688493361101E-2</v>
      </c>
      <c r="N15" s="4">
        <v>0.103576116808913</v>
      </c>
      <c r="O15" s="4">
        <v>4.2219357748085598E-3</v>
      </c>
      <c r="P15" s="5">
        <f t="shared" si="0"/>
        <v>0.155337623532768</v>
      </c>
      <c r="Q15" s="5">
        <f t="shared" si="1"/>
        <v>-4.5106236222251204E-2</v>
      </c>
      <c r="R15" s="5">
        <f t="shared" si="2"/>
        <v>3.2109688493361099E-2</v>
      </c>
      <c r="S15" s="5">
        <f t="shared" si="3"/>
        <v>9.3576116808913007E-2</v>
      </c>
      <c r="T15" s="5">
        <f t="shared" si="4"/>
        <v>-5.7780642251914404E-3</v>
      </c>
    </row>
    <row r="16" spans="1:20" x14ac:dyDescent="0.3">
      <c r="A16" s="2">
        <v>42491</v>
      </c>
      <c r="B16" s="4">
        <v>57.844551000000003</v>
      </c>
      <c r="C16" s="4">
        <v>21.408926000000001</v>
      </c>
      <c r="D16" s="4">
        <v>45.327592000000003</v>
      </c>
      <c r="E16" s="4">
        <v>37.935372999999998</v>
      </c>
      <c r="F16" s="4">
        <v>45.399997999999997</v>
      </c>
      <c r="G16" s="3">
        <v>1.78</v>
      </c>
      <c r="H16" s="3">
        <v>-0.18</v>
      </c>
      <c r="I16" s="3">
        <v>-1.62</v>
      </c>
      <c r="J16" s="3">
        <v>0.01</v>
      </c>
      <c r="K16" s="4">
        <v>3.604010061264E-2</v>
      </c>
      <c r="L16" s="4">
        <v>-1.30370379254923E-2</v>
      </c>
      <c r="M16" s="4">
        <v>1.33309157425391E-2</v>
      </c>
      <c r="N16" s="4">
        <v>6.0837694525674099E-2</v>
      </c>
      <c r="O16" s="4">
        <v>-9.8498464097454594E-2</v>
      </c>
      <c r="P16" s="5">
        <f t="shared" si="0"/>
        <v>2.6040100612639998E-2</v>
      </c>
      <c r="Q16" s="5">
        <f t="shared" si="1"/>
        <v>-2.3037037925492301E-2</v>
      </c>
      <c r="R16" s="5">
        <f t="shared" si="2"/>
        <v>3.3309157425390999E-3</v>
      </c>
      <c r="S16" s="5">
        <f t="shared" si="3"/>
        <v>5.0837694525674097E-2</v>
      </c>
      <c r="T16" s="5">
        <f t="shared" si="4"/>
        <v>-0.10849846409745459</v>
      </c>
    </row>
    <row r="17" spans="1:20" x14ac:dyDescent="0.3">
      <c r="A17" s="2">
        <v>42522</v>
      </c>
      <c r="B17" s="4">
        <v>56.463932</v>
      </c>
      <c r="C17" s="4">
        <v>21.408926000000001</v>
      </c>
      <c r="D17" s="4">
        <v>45.327592000000003</v>
      </c>
      <c r="E17" s="4">
        <v>38.919806000000001</v>
      </c>
      <c r="F17" s="4">
        <v>46.585689000000002</v>
      </c>
      <c r="G17" s="3">
        <v>-0.03</v>
      </c>
      <c r="H17" s="3">
        <v>0.6</v>
      </c>
      <c r="I17" s="3">
        <v>-1.49</v>
      </c>
      <c r="J17" s="3">
        <v>0.02</v>
      </c>
      <c r="K17" s="4">
        <v>2.90621656260656E-2</v>
      </c>
      <c r="L17" s="4">
        <v>-4.1810224087508299E-2</v>
      </c>
      <c r="M17" s="4">
        <v>4.2066464336428799E-2</v>
      </c>
      <c r="N17" s="4">
        <v>2.37841747896223E-2</v>
      </c>
      <c r="O17" s="4">
        <v>7.3284247168490203E-3</v>
      </c>
      <c r="P17" s="5">
        <f t="shared" si="0"/>
        <v>9.0621656260655992E-3</v>
      </c>
      <c r="Q17" s="5">
        <f t="shared" si="1"/>
        <v>-6.1810224087508303E-2</v>
      </c>
      <c r="R17" s="5">
        <f t="shared" si="2"/>
        <v>2.2066464336428799E-2</v>
      </c>
      <c r="S17" s="5">
        <f t="shared" si="3"/>
        <v>3.7841747896222994E-3</v>
      </c>
      <c r="T17" s="5">
        <f t="shared" si="4"/>
        <v>-1.2671575283150979E-2</v>
      </c>
    </row>
    <row r="18" spans="1:20" x14ac:dyDescent="0.3">
      <c r="A18" s="2">
        <v>42552</v>
      </c>
      <c r="B18" s="4">
        <v>55.609262000000001</v>
      </c>
      <c r="C18" s="4">
        <v>21.408926000000001</v>
      </c>
      <c r="D18" s="4">
        <v>45.858958000000001</v>
      </c>
      <c r="E18" s="4">
        <v>38.919806000000001</v>
      </c>
      <c r="F18" s="4">
        <v>45.293137000000002</v>
      </c>
      <c r="G18" s="3">
        <v>3.94</v>
      </c>
      <c r="H18" s="3">
        <v>2.4500000000000002</v>
      </c>
      <c r="I18" s="3">
        <v>-1.24</v>
      </c>
      <c r="J18" s="3">
        <v>0.02</v>
      </c>
      <c r="K18" s="4">
        <v>3.8938802513194898E-2</v>
      </c>
      <c r="L18" s="4">
        <v>-4.1989186345487699E-2</v>
      </c>
      <c r="M18" s="4">
        <v>5.1934491228168497E-2</v>
      </c>
      <c r="N18" s="4">
        <v>4.7714018271660198E-2</v>
      </c>
      <c r="O18" s="4">
        <v>0.170304221478499</v>
      </c>
      <c r="P18" s="5">
        <f t="shared" si="0"/>
        <v>1.8938802513194897E-2</v>
      </c>
      <c r="Q18" s="5">
        <f t="shared" si="1"/>
        <v>-6.1989186345487696E-2</v>
      </c>
      <c r="R18" s="5">
        <f t="shared" si="2"/>
        <v>3.1934491228168493E-2</v>
      </c>
      <c r="S18" s="5">
        <f t="shared" si="3"/>
        <v>2.7714018271660198E-2</v>
      </c>
      <c r="T18" s="5">
        <f t="shared" si="4"/>
        <v>0.15030422147849901</v>
      </c>
    </row>
    <row r="19" spans="1:20" x14ac:dyDescent="0.3">
      <c r="A19" s="2">
        <v>42583</v>
      </c>
      <c r="B19" s="4">
        <v>55.167183999999999</v>
      </c>
      <c r="C19" s="4">
        <v>21.408926000000001</v>
      </c>
      <c r="D19" s="4">
        <v>45.426110000000001</v>
      </c>
      <c r="E19" s="4">
        <v>38.919806000000001</v>
      </c>
      <c r="F19" s="4">
        <v>44.207248999999997</v>
      </c>
      <c r="G19" s="3">
        <v>0.49</v>
      </c>
      <c r="H19" s="3">
        <v>1.17</v>
      </c>
      <c r="I19" s="3">
        <v>3.17</v>
      </c>
      <c r="J19" s="3">
        <v>0.02</v>
      </c>
      <c r="K19" s="4">
        <v>-1.89456745804088E-2</v>
      </c>
      <c r="L19" s="4">
        <v>-1.37157289635968E-2</v>
      </c>
      <c r="M19" s="4">
        <v>-1.3424109710118801E-2</v>
      </c>
      <c r="N19" s="4">
        <v>-5.6654961111520998E-2</v>
      </c>
      <c r="O19" s="4">
        <v>0.19610066575576701</v>
      </c>
      <c r="P19" s="5">
        <f t="shared" si="0"/>
        <v>-3.8945674580408804E-2</v>
      </c>
      <c r="Q19" s="5">
        <f t="shared" si="1"/>
        <v>-3.37157289635968E-2</v>
      </c>
      <c r="R19" s="5">
        <f t="shared" si="2"/>
        <v>-3.3424109710118804E-2</v>
      </c>
      <c r="S19" s="5">
        <f t="shared" si="3"/>
        <v>-7.6654961111520994E-2</v>
      </c>
      <c r="T19" s="5">
        <f t="shared" si="4"/>
        <v>0.17610066575576702</v>
      </c>
    </row>
    <row r="20" spans="1:20" x14ac:dyDescent="0.3">
      <c r="A20" s="2">
        <v>42614</v>
      </c>
      <c r="B20" s="4">
        <v>55.461381000000003</v>
      </c>
      <c r="C20" s="4">
        <v>21.408926000000001</v>
      </c>
      <c r="D20" s="4">
        <v>45.548828999999998</v>
      </c>
      <c r="E20" s="4">
        <v>38.919806000000001</v>
      </c>
      <c r="F20" s="4">
        <v>42.920172999999998</v>
      </c>
      <c r="G20" s="3">
        <v>0.27</v>
      </c>
      <c r="H20" s="3">
        <v>2.08</v>
      </c>
      <c r="I20" s="3">
        <v>-1.19</v>
      </c>
      <c r="J20" s="3">
        <v>0.02</v>
      </c>
      <c r="K20" s="4">
        <v>-8.3964979092831995E-4</v>
      </c>
      <c r="L20" s="4">
        <v>9.4409554378447301E-3</v>
      </c>
      <c r="M20" s="4">
        <v>5.5956976271007403E-2</v>
      </c>
      <c r="N20" s="4">
        <v>-1.8634081662203299E-2</v>
      </c>
      <c r="O20" s="4">
        <v>-3.2837305556787197E-2</v>
      </c>
      <c r="P20" s="5">
        <f t="shared" si="0"/>
        <v>-2.0839649790928321E-2</v>
      </c>
      <c r="Q20" s="5">
        <f t="shared" si="1"/>
        <v>-1.055904456215527E-2</v>
      </c>
      <c r="R20" s="5">
        <f t="shared" si="2"/>
        <v>3.5956976271007399E-2</v>
      </c>
      <c r="S20" s="5">
        <f t="shared" si="3"/>
        <v>-3.86340816622033E-2</v>
      </c>
      <c r="T20" s="5">
        <f t="shared" si="4"/>
        <v>-5.2837305556787201E-2</v>
      </c>
    </row>
    <row r="21" spans="1:20" x14ac:dyDescent="0.3">
      <c r="A21" s="2">
        <v>42644</v>
      </c>
      <c r="B21" s="4">
        <v>55.343623000000001</v>
      </c>
      <c r="C21" s="4">
        <v>21.408926000000001</v>
      </c>
      <c r="D21" s="4">
        <v>45.518946</v>
      </c>
      <c r="E21" s="4">
        <v>38.919806000000001</v>
      </c>
      <c r="F21" s="4">
        <v>43.413048000000003</v>
      </c>
      <c r="G21" s="3">
        <v>-2.0099999999999998</v>
      </c>
      <c r="H21" s="3">
        <v>-4.3899999999999997</v>
      </c>
      <c r="I21" s="3">
        <v>4.1100000000000003</v>
      </c>
      <c r="J21" s="3">
        <v>0.02</v>
      </c>
      <c r="K21" s="4">
        <v>-7.5630222468984307E-2</v>
      </c>
      <c r="L21" s="4">
        <v>-6.3750856429361902E-2</v>
      </c>
      <c r="M21" s="4">
        <v>-7.2775727252351194E-2</v>
      </c>
      <c r="N21" s="4">
        <v>-6.3773495912085296E-2</v>
      </c>
      <c r="O21" s="4">
        <v>-9.3307274620475306E-2</v>
      </c>
      <c r="P21" s="5">
        <f t="shared" si="0"/>
        <v>-9.5630222468984311E-2</v>
      </c>
      <c r="Q21" s="5">
        <f t="shared" si="1"/>
        <v>-8.3750856429361906E-2</v>
      </c>
      <c r="R21" s="5">
        <f t="shared" si="2"/>
        <v>-9.2775727252351198E-2</v>
      </c>
      <c r="S21" s="5">
        <f t="shared" si="3"/>
        <v>-8.37734959120853E-2</v>
      </c>
      <c r="T21" s="5">
        <f t="shared" si="4"/>
        <v>-0.11330727462047531</v>
      </c>
    </row>
    <row r="22" spans="1:20" x14ac:dyDescent="0.3">
      <c r="A22" s="2">
        <v>42675</v>
      </c>
      <c r="B22" s="4">
        <v>56.191161999999998</v>
      </c>
      <c r="C22" s="4">
        <v>21.408926000000001</v>
      </c>
      <c r="D22" s="4">
        <v>45.518946</v>
      </c>
      <c r="E22" s="4">
        <v>38.919806000000001</v>
      </c>
      <c r="F22" s="4">
        <v>44.108314</v>
      </c>
      <c r="G22" s="3">
        <v>4.8600000000000003</v>
      </c>
      <c r="H22" s="3">
        <v>5.6</v>
      </c>
      <c r="I22" s="3">
        <v>8.2899999999999991</v>
      </c>
      <c r="J22" s="3">
        <v>0.01</v>
      </c>
      <c r="K22" s="4">
        <v>-7.0000041614879202E-2</v>
      </c>
      <c r="L22" s="4">
        <v>9.5066032438628702E-4</v>
      </c>
      <c r="M22" s="4">
        <v>-4.216758409436E-2</v>
      </c>
      <c r="N22" s="4">
        <v>1.3560902008995899E-2</v>
      </c>
      <c r="O22" s="4">
        <v>-9.3480536256838498E-2</v>
      </c>
      <c r="P22" s="5">
        <f t="shared" si="0"/>
        <v>-8.0000041614879197E-2</v>
      </c>
      <c r="Q22" s="5">
        <f t="shared" si="1"/>
        <v>-9.0493396756137125E-3</v>
      </c>
      <c r="R22" s="5">
        <f t="shared" si="2"/>
        <v>-5.2167584094360002E-2</v>
      </c>
      <c r="S22" s="5">
        <f t="shared" si="3"/>
        <v>3.560902008995899E-3</v>
      </c>
      <c r="T22" s="5">
        <f t="shared" si="4"/>
        <v>-0.10348053625683849</v>
      </c>
    </row>
    <row r="23" spans="1:20" x14ac:dyDescent="0.3">
      <c r="A23" s="2">
        <v>42705</v>
      </c>
      <c r="B23" s="4">
        <v>55.336981000000002</v>
      </c>
      <c r="C23" s="4">
        <v>21.408926000000001</v>
      </c>
      <c r="D23" s="4">
        <v>44.706018</v>
      </c>
      <c r="E23" s="4">
        <v>38.919806000000001</v>
      </c>
      <c r="F23" s="4">
        <v>44.312342999999998</v>
      </c>
      <c r="G23" s="3">
        <v>1.81</v>
      </c>
      <c r="H23" s="3">
        <v>0.14000000000000001</v>
      </c>
      <c r="I23" s="3">
        <v>3.47</v>
      </c>
      <c r="J23" s="3">
        <v>0.03</v>
      </c>
      <c r="K23" s="4">
        <v>5.7184757020926201E-2</v>
      </c>
      <c r="L23" s="4">
        <v>-2.8358421582189201E-2</v>
      </c>
      <c r="M23" s="4">
        <v>-1.48662265738239E-2</v>
      </c>
      <c r="N23" s="4">
        <v>2.0657525225816899E-2</v>
      </c>
      <c r="O23" s="4">
        <v>0.119762216836678</v>
      </c>
      <c r="P23" s="5">
        <f t="shared" si="0"/>
        <v>2.7184757020926202E-2</v>
      </c>
      <c r="Q23" s="5">
        <f t="shared" si="1"/>
        <v>-5.83584215821892E-2</v>
      </c>
      <c r="R23" s="5">
        <f t="shared" si="2"/>
        <v>-4.48662265738239E-2</v>
      </c>
      <c r="S23" s="5">
        <f t="shared" si="3"/>
        <v>-9.3424747741830995E-3</v>
      </c>
      <c r="T23" s="5">
        <f t="shared" si="4"/>
        <v>8.9762216836677997E-2</v>
      </c>
    </row>
    <row r="24" spans="1:20" x14ac:dyDescent="0.3">
      <c r="A24" s="2">
        <v>42736</v>
      </c>
      <c r="B24" s="4">
        <v>54.185060999999997</v>
      </c>
      <c r="C24" s="4">
        <v>21.408926000000001</v>
      </c>
      <c r="D24" s="4">
        <v>44.814506999999999</v>
      </c>
      <c r="E24" s="4">
        <v>38.919806000000001</v>
      </c>
      <c r="F24" s="4">
        <v>42.522137999999998</v>
      </c>
      <c r="G24" s="3">
        <v>1.94</v>
      </c>
      <c r="H24" s="3">
        <v>-1.1599999999999999</v>
      </c>
      <c r="I24" s="3">
        <v>-2.76</v>
      </c>
      <c r="J24" s="3">
        <v>0.04</v>
      </c>
      <c r="K24" s="4">
        <v>0.112343985180703</v>
      </c>
      <c r="L24" s="4">
        <v>1.82440737117208E-2</v>
      </c>
      <c r="M24" s="4">
        <v>9.2278066690703694E-2</v>
      </c>
      <c r="N24" s="4">
        <v>-2.3090986672039099E-2</v>
      </c>
      <c r="O24" s="4">
        <v>0.10403392083855301</v>
      </c>
      <c r="P24" s="5">
        <f t="shared" si="0"/>
        <v>7.2343985180703008E-2</v>
      </c>
      <c r="Q24" s="5">
        <f t="shared" si="1"/>
        <v>-2.1755926288279201E-2</v>
      </c>
      <c r="R24" s="5">
        <f t="shared" si="2"/>
        <v>5.2278066690703694E-2</v>
      </c>
      <c r="S24" s="5">
        <f t="shared" si="3"/>
        <v>-6.3090986672039107E-2</v>
      </c>
      <c r="T24" s="5">
        <f t="shared" si="4"/>
        <v>6.4033920838552999E-2</v>
      </c>
    </row>
    <row r="25" spans="1:20" x14ac:dyDescent="0.3">
      <c r="A25" s="2">
        <v>42767</v>
      </c>
      <c r="B25" s="4">
        <v>54.505147999999998</v>
      </c>
      <c r="C25" s="4">
        <v>21.408926000000001</v>
      </c>
      <c r="D25" s="4">
        <v>43.539959000000003</v>
      </c>
      <c r="E25" s="4">
        <v>38.919806000000001</v>
      </c>
      <c r="F25" s="4">
        <v>41.540514999999999</v>
      </c>
      <c r="G25" s="3">
        <v>3.55</v>
      </c>
      <c r="H25" s="3">
        <v>-2.15</v>
      </c>
      <c r="I25" s="3">
        <v>-1.5</v>
      </c>
      <c r="J25" s="3">
        <v>0.04</v>
      </c>
      <c r="K25" s="4">
        <v>2.03657432250474E-2</v>
      </c>
      <c r="L25" s="4">
        <v>-2.71910537454782E-2</v>
      </c>
      <c r="M25" s="4">
        <v>6.3967996126894605E-2</v>
      </c>
      <c r="N25" s="4">
        <v>7.5322918643735803E-2</v>
      </c>
      <c r="O25" s="4">
        <v>4.7115456035153797E-2</v>
      </c>
      <c r="P25" s="5">
        <f t="shared" si="0"/>
        <v>-1.9634256774952601E-2</v>
      </c>
      <c r="Q25" s="5">
        <f t="shared" si="1"/>
        <v>-6.7191053745478208E-2</v>
      </c>
      <c r="R25" s="5">
        <f t="shared" si="2"/>
        <v>2.3967996126894604E-2</v>
      </c>
      <c r="S25" s="5">
        <f t="shared" si="3"/>
        <v>3.5322918643735803E-2</v>
      </c>
      <c r="T25" s="5">
        <f t="shared" si="4"/>
        <v>7.1154560351537957E-3</v>
      </c>
    </row>
    <row r="26" spans="1:20" x14ac:dyDescent="0.3">
      <c r="A26" s="2">
        <v>42795</v>
      </c>
      <c r="B26" s="4">
        <v>54.424460000000003</v>
      </c>
      <c r="C26" s="4">
        <v>21.408926000000001</v>
      </c>
      <c r="D26" s="4">
        <v>42.398760000000003</v>
      </c>
      <c r="E26" s="4">
        <v>39.441625000000002</v>
      </c>
      <c r="F26" s="4">
        <v>40.950220000000002</v>
      </c>
      <c r="G26" s="3">
        <v>0.17</v>
      </c>
      <c r="H26" s="3">
        <v>1.1299999999999999</v>
      </c>
      <c r="I26" s="3">
        <v>-3.33</v>
      </c>
      <c r="J26" s="3">
        <v>0.03</v>
      </c>
      <c r="K26" s="4">
        <v>1.3034688884624401E-2</v>
      </c>
      <c r="L26" s="4">
        <v>-3.63224334950547E-2</v>
      </c>
      <c r="M26" s="4">
        <v>3.9986434791034302E-2</v>
      </c>
      <c r="N26" s="4">
        <v>1.28524516435581E-2</v>
      </c>
      <c r="O26" s="4">
        <v>-1.0789743018495499E-2</v>
      </c>
      <c r="P26" s="5">
        <f t="shared" si="0"/>
        <v>-1.6965311115375598E-2</v>
      </c>
      <c r="Q26" s="5">
        <f t="shared" si="1"/>
        <v>-6.6322433495054706E-2</v>
      </c>
      <c r="R26" s="5">
        <f t="shared" si="2"/>
        <v>9.9864347910343029E-3</v>
      </c>
      <c r="S26" s="5">
        <f t="shared" si="3"/>
        <v>-1.7147548356441899E-2</v>
      </c>
      <c r="T26" s="5">
        <f t="shared" si="4"/>
        <v>-4.07897430184955E-2</v>
      </c>
    </row>
    <row r="27" spans="1:20" x14ac:dyDescent="0.3">
      <c r="A27" s="2">
        <v>42826</v>
      </c>
      <c r="B27" s="4">
        <v>54.930543999999998</v>
      </c>
      <c r="C27" s="4">
        <v>21.408926000000001</v>
      </c>
      <c r="D27" s="4">
        <v>42.309475999999997</v>
      </c>
      <c r="E27" s="4">
        <v>39.441625000000002</v>
      </c>
      <c r="F27" s="4">
        <v>41.947812999999996</v>
      </c>
      <c r="G27" s="3">
        <v>1.08</v>
      </c>
      <c r="H27" s="3">
        <v>0.66</v>
      </c>
      <c r="I27" s="3">
        <v>-2.0499999999999998</v>
      </c>
      <c r="J27" s="3">
        <v>0.05</v>
      </c>
      <c r="K27" s="4">
        <v>6.0715652214660097E-2</v>
      </c>
      <c r="L27" s="4">
        <v>1.7041959848329999E-2</v>
      </c>
      <c r="M27" s="4">
        <v>9.0544991242127199E-2</v>
      </c>
      <c r="N27" s="4">
        <v>-8.4769373383358701E-3</v>
      </c>
      <c r="O27" s="4">
        <v>7.4263099023219497E-3</v>
      </c>
      <c r="P27" s="5">
        <f t="shared" si="0"/>
        <v>1.0715652214660094E-2</v>
      </c>
      <c r="Q27" s="5">
        <f t="shared" si="1"/>
        <v>-3.2958040151670004E-2</v>
      </c>
      <c r="R27" s="5">
        <f t="shared" si="2"/>
        <v>4.0544991242127196E-2</v>
      </c>
      <c r="S27" s="5">
        <f t="shared" si="3"/>
        <v>-5.8476937338335873E-2</v>
      </c>
      <c r="T27" s="5">
        <f t="shared" si="4"/>
        <v>-4.2573690097678051E-2</v>
      </c>
    </row>
    <row r="28" spans="1:20" x14ac:dyDescent="0.3">
      <c r="A28" s="2">
        <v>42856</v>
      </c>
      <c r="B28" s="4">
        <v>55.967357999999997</v>
      </c>
      <c r="C28" s="4">
        <v>21.408926000000001</v>
      </c>
      <c r="D28" s="4">
        <v>43.289164</v>
      </c>
      <c r="E28" s="4">
        <v>39.441625000000002</v>
      </c>
      <c r="F28" s="4">
        <v>42.344307999999998</v>
      </c>
      <c r="G28" s="3">
        <v>1.07</v>
      </c>
      <c r="H28" s="3">
        <v>-2.52</v>
      </c>
      <c r="I28" s="3">
        <v>-3.82</v>
      </c>
      <c r="J28" s="3">
        <v>0.06</v>
      </c>
      <c r="K28" s="4">
        <v>2.46399373221215E-2</v>
      </c>
      <c r="L28" s="4">
        <v>-5.3391896541674498E-2</v>
      </c>
      <c r="M28" s="4">
        <v>9.4285013216285296E-2</v>
      </c>
      <c r="N28" s="4">
        <v>-3.7441314475067898E-2</v>
      </c>
      <c r="O28" s="4">
        <v>-3.3172048647100598E-2</v>
      </c>
      <c r="P28" s="5">
        <f t="shared" si="0"/>
        <v>-3.5360062677878501E-2</v>
      </c>
      <c r="Q28" s="5">
        <f t="shared" si="1"/>
        <v>-0.1133918965416745</v>
      </c>
      <c r="R28" s="5">
        <f t="shared" si="2"/>
        <v>3.4285013216285298E-2</v>
      </c>
      <c r="S28" s="5">
        <f t="shared" si="3"/>
        <v>-9.7441314475067903E-2</v>
      </c>
      <c r="T28" s="5">
        <f t="shared" si="4"/>
        <v>-9.3172048647100603E-2</v>
      </c>
    </row>
    <row r="29" spans="1:20" x14ac:dyDescent="0.3">
      <c r="A29" s="2">
        <v>42887</v>
      </c>
      <c r="B29" s="4">
        <v>55.979641999999998</v>
      </c>
      <c r="C29" s="4">
        <v>21.408926000000001</v>
      </c>
      <c r="D29" s="4">
        <v>43.782848999999999</v>
      </c>
      <c r="E29" s="4">
        <v>40.383015</v>
      </c>
      <c r="F29" s="4">
        <v>42.148135000000003</v>
      </c>
      <c r="G29" s="3">
        <v>0.79</v>
      </c>
      <c r="H29" s="3">
        <v>2.21</v>
      </c>
      <c r="I29" s="3">
        <v>1.5</v>
      </c>
      <c r="J29" s="3">
        <v>0.06</v>
      </c>
      <c r="K29" s="4">
        <v>2.55271405542318E-2</v>
      </c>
      <c r="L29" s="4">
        <v>9.0769089834181901E-2</v>
      </c>
      <c r="M29" s="4">
        <v>2.26199353156331E-2</v>
      </c>
      <c r="N29" s="4">
        <v>3.8748461931209198E-2</v>
      </c>
      <c r="O29" s="4">
        <v>0.22253990662217599</v>
      </c>
      <c r="P29" s="5">
        <f t="shared" si="0"/>
        <v>-3.4472859445768195E-2</v>
      </c>
      <c r="Q29" s="5">
        <f t="shared" si="1"/>
        <v>3.0769089834181904E-2</v>
      </c>
      <c r="R29" s="5">
        <f t="shared" si="2"/>
        <v>-3.7380064684366901E-2</v>
      </c>
      <c r="S29" s="5">
        <f t="shared" si="3"/>
        <v>-2.12515380687908E-2</v>
      </c>
      <c r="T29" s="5">
        <f t="shared" si="4"/>
        <v>0.16253990662217599</v>
      </c>
    </row>
    <row r="30" spans="1:20" x14ac:dyDescent="0.3">
      <c r="A30" s="2">
        <v>42917</v>
      </c>
      <c r="B30" s="4">
        <v>56.031711999999999</v>
      </c>
      <c r="C30" s="4">
        <v>21.408926000000001</v>
      </c>
      <c r="D30" s="4">
        <v>43.665182000000001</v>
      </c>
      <c r="E30" s="4">
        <v>40.383015</v>
      </c>
      <c r="F30" s="4">
        <v>42.960850999999998</v>
      </c>
      <c r="G30" s="3">
        <v>1.88</v>
      </c>
      <c r="H30" s="3">
        <v>-1.45</v>
      </c>
      <c r="I30" s="3">
        <v>-0.23</v>
      </c>
      <c r="J30" s="3">
        <v>7.0000000000000007E-2</v>
      </c>
      <c r="K30" s="4">
        <v>-3.96824856193684E-2</v>
      </c>
      <c r="L30" s="4">
        <v>8.3670346036128301E-2</v>
      </c>
      <c r="M30" s="4">
        <v>3.0897102423061902E-3</v>
      </c>
      <c r="N30" s="4">
        <v>-1.28014527720873E-2</v>
      </c>
      <c r="O30" s="4">
        <v>-1.94893777672073E-2</v>
      </c>
      <c r="P30" s="5">
        <f t="shared" si="0"/>
        <v>-0.10968248561936841</v>
      </c>
      <c r="Q30" s="5">
        <f t="shared" si="1"/>
        <v>1.3670346036128295E-2</v>
      </c>
      <c r="R30" s="5">
        <f t="shared" si="2"/>
        <v>-6.6910289757693822E-2</v>
      </c>
      <c r="S30" s="5">
        <f t="shared" si="3"/>
        <v>-8.2801452772087308E-2</v>
      </c>
      <c r="T30" s="5">
        <f t="shared" si="4"/>
        <v>-8.9489377767207307E-2</v>
      </c>
    </row>
    <row r="31" spans="1:20" x14ac:dyDescent="0.3">
      <c r="A31" s="2">
        <v>42948</v>
      </c>
      <c r="B31" s="4">
        <v>55.098301999999997</v>
      </c>
      <c r="C31" s="4">
        <v>21.408926000000001</v>
      </c>
      <c r="D31" s="4">
        <v>43.665182000000001</v>
      </c>
      <c r="E31" s="4">
        <v>42.407721000000002</v>
      </c>
      <c r="F31" s="4">
        <v>44.038687000000003</v>
      </c>
      <c r="G31" s="3">
        <v>0.18</v>
      </c>
      <c r="H31" s="3">
        <v>-1.67</v>
      </c>
      <c r="I31" s="3">
        <v>-2.13</v>
      </c>
      <c r="J31" s="3">
        <v>0.09</v>
      </c>
      <c r="K31" s="4">
        <v>3.4936076953705E-2</v>
      </c>
      <c r="L31" s="4">
        <v>0.100144803556697</v>
      </c>
      <c r="M31" s="4">
        <v>7.0779899478952496E-2</v>
      </c>
      <c r="N31" s="4">
        <v>2.2919153541050799E-2</v>
      </c>
      <c r="O31" s="4">
        <v>0.15404491728188199</v>
      </c>
      <c r="P31" s="5">
        <f t="shared" si="0"/>
        <v>-5.5063923046294996E-2</v>
      </c>
      <c r="Q31" s="5">
        <f t="shared" si="1"/>
        <v>1.0144803556697002E-2</v>
      </c>
      <c r="R31" s="5">
        <f t="shared" si="2"/>
        <v>-1.9220100521047501E-2</v>
      </c>
      <c r="S31" s="5">
        <f t="shared" si="3"/>
        <v>-6.7080846458949198E-2</v>
      </c>
      <c r="T31" s="5">
        <f t="shared" si="4"/>
        <v>6.4044917281881997E-2</v>
      </c>
    </row>
    <row r="32" spans="1:20" x14ac:dyDescent="0.3">
      <c r="A32" s="2">
        <v>42979</v>
      </c>
      <c r="B32" s="4">
        <v>54.138061</v>
      </c>
      <c r="C32" s="4">
        <v>21.408926000000001</v>
      </c>
      <c r="D32" s="4">
        <v>43.009756000000003</v>
      </c>
      <c r="E32" s="4">
        <v>42.407721000000002</v>
      </c>
      <c r="F32" s="4">
        <v>44.844957999999998</v>
      </c>
      <c r="G32" s="3">
        <v>2.4900000000000002</v>
      </c>
      <c r="H32" s="3">
        <v>4.45</v>
      </c>
      <c r="I32" s="3">
        <v>3.15</v>
      </c>
      <c r="J32" s="3">
        <v>0.09</v>
      </c>
      <c r="K32" s="4">
        <v>5.8802209949035199E-2</v>
      </c>
      <c r="L32" s="4">
        <v>-3.2134945239257903E-2</v>
      </c>
      <c r="M32" s="4">
        <v>4.1018436371169198E-2</v>
      </c>
      <c r="N32" s="4">
        <v>6.2757206699139007E-2</v>
      </c>
      <c r="O32" s="4">
        <v>-5.13262051627714E-2</v>
      </c>
      <c r="P32" s="5">
        <f t="shared" si="0"/>
        <v>-3.1197790050964798E-2</v>
      </c>
      <c r="Q32" s="5">
        <f t="shared" si="1"/>
        <v>-0.1221349452392579</v>
      </c>
      <c r="R32" s="5">
        <f t="shared" si="2"/>
        <v>-4.8981563628830799E-2</v>
      </c>
      <c r="S32" s="5">
        <f t="shared" si="3"/>
        <v>-2.724279330086099E-2</v>
      </c>
      <c r="T32" s="5">
        <f t="shared" si="4"/>
        <v>-0.14132620516277139</v>
      </c>
    </row>
    <row r="33" spans="1:20" x14ac:dyDescent="0.3">
      <c r="A33" s="2">
        <v>43009</v>
      </c>
      <c r="B33" s="4">
        <v>55.301833000000002</v>
      </c>
      <c r="C33" s="4">
        <v>21.408926000000001</v>
      </c>
      <c r="D33" s="4">
        <v>43.403655999999998</v>
      </c>
      <c r="E33" s="4">
        <v>42.407721000000002</v>
      </c>
      <c r="F33" s="4">
        <v>45.045665999999997</v>
      </c>
      <c r="G33" s="3">
        <v>2.2599999999999998</v>
      </c>
      <c r="H33" s="3">
        <v>-1.93</v>
      </c>
      <c r="I33" s="3">
        <v>0.13</v>
      </c>
      <c r="J33" s="3">
        <v>0.09</v>
      </c>
      <c r="K33" s="4">
        <v>-3.5310273704201103E-2</v>
      </c>
      <c r="L33" s="4">
        <v>-6.9010813423545397E-2</v>
      </c>
      <c r="M33" s="4">
        <v>7.66818951831542E-2</v>
      </c>
      <c r="N33" s="4">
        <v>-1.79271455917898E-2</v>
      </c>
      <c r="O33" s="4">
        <v>6.7719669902648993E-2</v>
      </c>
      <c r="P33" s="5">
        <f t="shared" si="0"/>
        <v>-0.12531027370420111</v>
      </c>
      <c r="Q33" s="5">
        <f t="shared" si="1"/>
        <v>-0.15901081342354539</v>
      </c>
      <c r="R33" s="5">
        <f t="shared" si="2"/>
        <v>-1.3318104816845797E-2</v>
      </c>
      <c r="S33" s="5">
        <f t="shared" si="3"/>
        <v>-0.1079271455917898</v>
      </c>
      <c r="T33" s="5">
        <f t="shared" si="4"/>
        <v>-2.2280330097351003E-2</v>
      </c>
    </row>
    <row r="34" spans="1:20" x14ac:dyDescent="0.3">
      <c r="A34" s="2">
        <v>43040</v>
      </c>
      <c r="B34" s="4">
        <v>55.397689999999997</v>
      </c>
      <c r="C34" s="4">
        <v>21.408926000000001</v>
      </c>
      <c r="D34" s="4">
        <v>42.860249000000003</v>
      </c>
      <c r="E34" s="4">
        <v>42.407721000000002</v>
      </c>
      <c r="F34" s="4">
        <v>46.009582999999999</v>
      </c>
      <c r="G34" s="3">
        <v>3.12</v>
      </c>
      <c r="H34" s="3">
        <v>-0.6</v>
      </c>
      <c r="I34" s="3">
        <v>-0.09</v>
      </c>
      <c r="J34" s="3">
        <v>0.08</v>
      </c>
      <c r="K34" s="4">
        <v>-6.6098036366239094E-2</v>
      </c>
      <c r="L34" s="4">
        <v>-2.4013931009174701E-3</v>
      </c>
      <c r="M34" s="4">
        <v>6.5057477474170497E-2</v>
      </c>
      <c r="N34" s="4">
        <v>3.4226830699708603E-2</v>
      </c>
      <c r="O34" s="4">
        <v>0.21969055742124599</v>
      </c>
      <c r="P34" s="5">
        <f t="shared" si="0"/>
        <v>-0.14609803636623908</v>
      </c>
      <c r="Q34" s="5">
        <f t="shared" si="1"/>
        <v>-8.2401393100917472E-2</v>
      </c>
      <c r="R34" s="5">
        <f t="shared" si="2"/>
        <v>-1.4942522525829505E-2</v>
      </c>
      <c r="S34" s="5">
        <f t="shared" si="3"/>
        <v>-4.5773169300291398E-2</v>
      </c>
      <c r="T34" s="5">
        <f t="shared" si="4"/>
        <v>0.13969055742124598</v>
      </c>
    </row>
    <row r="35" spans="1:20" x14ac:dyDescent="0.3">
      <c r="A35" s="2">
        <v>43070</v>
      </c>
      <c r="B35" s="4">
        <v>55.823706999999999</v>
      </c>
      <c r="C35" s="4">
        <v>21.408926000000001</v>
      </c>
      <c r="D35" s="4">
        <v>42.935389999999998</v>
      </c>
      <c r="E35" s="4">
        <v>42.407721000000002</v>
      </c>
      <c r="F35" s="4">
        <v>46.142442000000003</v>
      </c>
      <c r="G35" s="3">
        <v>1.06</v>
      </c>
      <c r="H35" s="3">
        <v>-1.32</v>
      </c>
      <c r="I35" s="3">
        <v>0.05</v>
      </c>
      <c r="J35" s="3">
        <v>0.09</v>
      </c>
      <c r="K35" s="4">
        <v>-5.6697097876231201E-2</v>
      </c>
      <c r="L35" s="4">
        <v>-4.1989806078969898E-2</v>
      </c>
      <c r="M35" s="4">
        <v>-8.7147887626330703E-2</v>
      </c>
      <c r="N35" s="4">
        <v>8.0245449228293301E-3</v>
      </c>
      <c r="O35" s="4">
        <v>-3.8059434395240503E-2</v>
      </c>
      <c r="P35" s="5">
        <f t="shared" si="0"/>
        <v>-0.1466970978762312</v>
      </c>
      <c r="Q35" s="5">
        <f t="shared" si="1"/>
        <v>-0.1319898060789699</v>
      </c>
      <c r="R35" s="5">
        <f t="shared" si="2"/>
        <v>-0.17714788762633071</v>
      </c>
      <c r="S35" s="5">
        <f t="shared" si="3"/>
        <v>-8.1975455077170661E-2</v>
      </c>
      <c r="T35" s="5">
        <f t="shared" si="4"/>
        <v>-0.12805943439524051</v>
      </c>
    </row>
    <row r="36" spans="1:20" x14ac:dyDescent="0.3">
      <c r="A36" s="2">
        <v>43101</v>
      </c>
      <c r="B36" s="4">
        <v>56.471145999999997</v>
      </c>
      <c r="C36" s="4">
        <v>21.408926000000001</v>
      </c>
      <c r="D36" s="4">
        <v>43.980685999999999</v>
      </c>
      <c r="E36" s="4">
        <v>42.407721000000002</v>
      </c>
      <c r="F36" s="4">
        <v>45.281179000000002</v>
      </c>
      <c r="G36" s="3">
        <v>5.58</v>
      </c>
      <c r="H36" s="3">
        <v>-3.16</v>
      </c>
      <c r="I36" s="3">
        <v>-1.32</v>
      </c>
      <c r="J36" s="3">
        <v>0.11</v>
      </c>
      <c r="K36" s="4">
        <v>0.12787406421432401</v>
      </c>
      <c r="L36" s="4">
        <v>0.17773462428663001</v>
      </c>
      <c r="M36" s="4">
        <v>0.182851962736677</v>
      </c>
      <c r="N36" s="4">
        <v>2.2639131066466998E-2</v>
      </c>
      <c r="O36" s="4">
        <v>0.10913041709125899</v>
      </c>
      <c r="P36" s="5">
        <f t="shared" si="0"/>
        <v>1.7874064214324012E-2</v>
      </c>
      <c r="Q36" s="5">
        <f t="shared" si="1"/>
        <v>6.7734624286630005E-2</v>
      </c>
      <c r="R36" s="5">
        <f t="shared" si="2"/>
        <v>7.2851962736677003E-2</v>
      </c>
      <c r="S36" s="5">
        <f t="shared" si="3"/>
        <v>-8.7360868933533009E-2</v>
      </c>
      <c r="T36" s="5">
        <f t="shared" si="4"/>
        <v>-8.6958290874100674E-4</v>
      </c>
    </row>
    <row r="37" spans="1:20" x14ac:dyDescent="0.3">
      <c r="A37" s="2">
        <v>43132</v>
      </c>
      <c r="B37" s="4">
        <v>55.68074</v>
      </c>
      <c r="C37" s="4">
        <v>21.408926000000001</v>
      </c>
      <c r="D37" s="4">
        <v>43.359349999999999</v>
      </c>
      <c r="E37" s="4">
        <v>42.407721000000002</v>
      </c>
      <c r="F37" s="4">
        <v>46.200583999999999</v>
      </c>
      <c r="G37" s="3">
        <v>-3.64</v>
      </c>
      <c r="H37" s="3">
        <v>0.27</v>
      </c>
      <c r="I37" s="3">
        <v>-1.1000000000000001</v>
      </c>
      <c r="J37" s="3">
        <v>0.11</v>
      </c>
      <c r="K37" s="4">
        <v>-2.50357252686591E-2</v>
      </c>
      <c r="L37" s="4">
        <v>-6.0501106622506101E-2</v>
      </c>
      <c r="M37" s="4">
        <v>-1.2092608941169E-2</v>
      </c>
      <c r="N37" s="4">
        <v>-1.9708300218956899E-2</v>
      </c>
      <c r="O37" s="4">
        <v>-1.88161827306314E-2</v>
      </c>
      <c r="P37" s="5">
        <f t="shared" si="0"/>
        <v>-0.13503572526865909</v>
      </c>
      <c r="Q37" s="5">
        <f t="shared" si="1"/>
        <v>-0.17050110662250612</v>
      </c>
      <c r="R37" s="5">
        <f t="shared" si="2"/>
        <v>-0.122092608941169</v>
      </c>
      <c r="S37" s="5">
        <f t="shared" si="3"/>
        <v>-0.12970830021895691</v>
      </c>
      <c r="T37" s="5">
        <f t="shared" si="4"/>
        <v>-0.12881618273063139</v>
      </c>
    </row>
    <row r="38" spans="1:20" x14ac:dyDescent="0.3">
      <c r="A38" s="2">
        <v>43160</v>
      </c>
      <c r="B38" s="4">
        <v>55.903812000000002</v>
      </c>
      <c r="C38" s="4">
        <v>21.408926000000001</v>
      </c>
      <c r="D38" s="4">
        <v>43.359349999999999</v>
      </c>
      <c r="E38" s="4">
        <v>42.407721000000002</v>
      </c>
      <c r="F38" s="4">
        <v>45.906768</v>
      </c>
      <c r="G38" s="3">
        <v>-2.35</v>
      </c>
      <c r="H38" s="3">
        <v>4.05</v>
      </c>
      <c r="I38" s="3">
        <v>-0.21</v>
      </c>
      <c r="J38" s="3">
        <v>0.12</v>
      </c>
      <c r="K38" s="4">
        <v>2.2010075362659501E-3</v>
      </c>
      <c r="L38" s="4">
        <v>-4.2423769878668097E-2</v>
      </c>
      <c r="M38" s="4">
        <v>-3.1938047703602999E-2</v>
      </c>
      <c r="N38" s="4">
        <v>-1.35282294238493E-2</v>
      </c>
      <c r="O38" s="4">
        <v>0.15434817595585301</v>
      </c>
      <c r="P38" s="5">
        <f t="shared" si="0"/>
        <v>-0.11779899246373404</v>
      </c>
      <c r="Q38" s="5">
        <f t="shared" si="1"/>
        <v>-0.16242376987866808</v>
      </c>
      <c r="R38" s="5">
        <f t="shared" si="2"/>
        <v>-0.151938047703603</v>
      </c>
      <c r="S38" s="5">
        <f t="shared" si="3"/>
        <v>-0.13352822942384929</v>
      </c>
      <c r="T38" s="5">
        <f t="shared" si="4"/>
        <v>3.4348175955853016E-2</v>
      </c>
    </row>
    <row r="39" spans="1:20" x14ac:dyDescent="0.3">
      <c r="A39" s="2">
        <v>43191</v>
      </c>
      <c r="B39" s="4">
        <v>56.53396</v>
      </c>
      <c r="C39" s="4">
        <v>21.408926000000001</v>
      </c>
      <c r="D39" s="4">
        <v>43.359349999999999</v>
      </c>
      <c r="E39" s="4">
        <v>42.407721000000002</v>
      </c>
      <c r="F39" s="4">
        <v>46.686273</v>
      </c>
      <c r="G39" s="3">
        <v>0.27</v>
      </c>
      <c r="H39" s="3">
        <v>1.0900000000000001</v>
      </c>
      <c r="I39" s="3">
        <v>0.53</v>
      </c>
      <c r="J39" s="3">
        <v>0.14000000000000001</v>
      </c>
      <c r="K39" s="4">
        <v>5.1244496126238999E-2</v>
      </c>
      <c r="L39" s="4">
        <v>-3.5133802433998697E-2</v>
      </c>
      <c r="M39" s="4">
        <v>6.7703405334577305E-2</v>
      </c>
      <c r="N39" s="4">
        <v>3.1558371719569503E-2</v>
      </c>
      <c r="O39" s="4">
        <v>-7.8449504243388504E-3</v>
      </c>
      <c r="P39" s="5">
        <f t="shared" si="0"/>
        <v>-8.8755503873761021E-2</v>
      </c>
      <c r="Q39" s="5">
        <f t="shared" si="1"/>
        <v>-0.1751338024339987</v>
      </c>
      <c r="R39" s="5">
        <f t="shared" si="2"/>
        <v>-7.2296594665422709E-2</v>
      </c>
      <c r="S39" s="5">
        <f t="shared" si="3"/>
        <v>-0.10844162828043051</v>
      </c>
      <c r="T39" s="5">
        <f t="shared" si="4"/>
        <v>-0.14784495042433887</v>
      </c>
    </row>
    <row r="40" spans="1:20" x14ac:dyDescent="0.3">
      <c r="A40" s="2">
        <v>43221</v>
      </c>
      <c r="B40" s="4">
        <v>55.857973000000001</v>
      </c>
      <c r="C40" s="4">
        <v>21.408926000000001</v>
      </c>
      <c r="D40" s="4">
        <v>43.495809999999999</v>
      </c>
      <c r="E40" s="4">
        <v>42.407721000000002</v>
      </c>
      <c r="F40" s="4">
        <v>45.159211999999997</v>
      </c>
      <c r="G40" s="3">
        <v>2.66</v>
      </c>
      <c r="H40" s="3">
        <v>5.24</v>
      </c>
      <c r="I40" s="3">
        <v>-3.14</v>
      </c>
      <c r="J40" s="3">
        <v>0.14000000000000001</v>
      </c>
      <c r="K40" s="4">
        <v>5.8147636358661402E-2</v>
      </c>
      <c r="L40" s="4">
        <v>-6.6869746837762103E-2</v>
      </c>
      <c r="M40" s="4">
        <v>4.2855810570292703E-2</v>
      </c>
      <c r="N40" s="4">
        <v>-1.8574333332133298E-2</v>
      </c>
      <c r="O40" s="4">
        <v>9.0581405994503997E-2</v>
      </c>
      <c r="P40" s="5">
        <f t="shared" si="0"/>
        <v>-8.1852363641338605E-2</v>
      </c>
      <c r="Q40" s="5">
        <f t="shared" si="1"/>
        <v>-0.2068697468377621</v>
      </c>
      <c r="R40" s="5">
        <f t="shared" si="2"/>
        <v>-9.7144189429707317E-2</v>
      </c>
      <c r="S40" s="5">
        <f t="shared" si="3"/>
        <v>-0.1585743333321333</v>
      </c>
      <c r="T40" s="5">
        <f t="shared" si="4"/>
        <v>-4.9418594005496017E-2</v>
      </c>
    </row>
    <row r="41" spans="1:20" x14ac:dyDescent="0.3">
      <c r="A41" s="2">
        <v>43252</v>
      </c>
      <c r="B41" s="4">
        <v>55.803652999999997</v>
      </c>
      <c r="C41" s="4">
        <v>21.408926000000001</v>
      </c>
      <c r="D41" s="4">
        <v>43.559824999999996</v>
      </c>
      <c r="E41" s="4">
        <v>42.407721000000002</v>
      </c>
      <c r="F41" s="4">
        <v>44.060186999999999</v>
      </c>
      <c r="G41" s="3">
        <v>0.49</v>
      </c>
      <c r="H41" s="3">
        <v>1.1100000000000001</v>
      </c>
      <c r="I41" s="3">
        <v>-2.33</v>
      </c>
      <c r="J41" s="3">
        <v>0.14000000000000001</v>
      </c>
      <c r="K41" s="4">
        <v>7.6011892717505497E-2</v>
      </c>
      <c r="L41" s="4">
        <v>5.1038676434430101E-2</v>
      </c>
      <c r="M41" s="4">
        <v>4.0920689879067697E-2</v>
      </c>
      <c r="N41" s="4">
        <v>1.95980318062434E-2</v>
      </c>
      <c r="O41" s="4">
        <v>-8.6256572004636906E-2</v>
      </c>
      <c r="P41" s="5">
        <f t="shared" si="0"/>
        <v>-6.3988107282494516E-2</v>
      </c>
      <c r="Q41" s="5">
        <f t="shared" si="1"/>
        <v>-8.8961323565569905E-2</v>
      </c>
      <c r="R41" s="5">
        <f t="shared" si="2"/>
        <v>-9.9079310120932323E-2</v>
      </c>
      <c r="S41" s="5">
        <f t="shared" si="3"/>
        <v>-0.12040196819375662</v>
      </c>
      <c r="T41" s="5">
        <f t="shared" si="4"/>
        <v>-0.22625657200463692</v>
      </c>
    </row>
    <row r="42" spans="1:20" x14ac:dyDescent="0.3">
      <c r="A42" s="2">
        <v>43282</v>
      </c>
      <c r="B42" s="4">
        <v>55.308042</v>
      </c>
      <c r="C42" s="4">
        <v>21.877680000000002</v>
      </c>
      <c r="D42" s="4">
        <v>43.383805000000002</v>
      </c>
      <c r="E42" s="4">
        <v>42.407721000000002</v>
      </c>
      <c r="F42" s="4">
        <v>47.138672</v>
      </c>
      <c r="G42" s="3">
        <v>3.2</v>
      </c>
      <c r="H42" s="3">
        <v>-2.23</v>
      </c>
      <c r="I42" s="3">
        <v>0.49</v>
      </c>
      <c r="J42" s="3">
        <v>0.16</v>
      </c>
      <c r="K42" s="4">
        <v>2.7828740861787798E-2</v>
      </c>
      <c r="L42" s="4">
        <v>0.107528374544769</v>
      </c>
      <c r="M42" s="4">
        <v>6.2092474041035697E-2</v>
      </c>
      <c r="N42" s="4">
        <v>0.10060653972862101</v>
      </c>
      <c r="O42" s="4">
        <v>-2.96381957594096E-2</v>
      </c>
      <c r="P42" s="5">
        <f t="shared" si="0"/>
        <v>-0.1321712591382122</v>
      </c>
      <c r="Q42" s="5">
        <f t="shared" si="1"/>
        <v>-5.2471625455231E-2</v>
      </c>
      <c r="R42" s="5">
        <f t="shared" si="2"/>
        <v>-9.7907525958964306E-2</v>
      </c>
      <c r="S42" s="5">
        <f t="shared" si="3"/>
        <v>-5.9393460271378998E-2</v>
      </c>
      <c r="T42" s="5">
        <f t="shared" si="4"/>
        <v>-0.1896381957594096</v>
      </c>
    </row>
    <row r="43" spans="1:20" x14ac:dyDescent="0.3">
      <c r="A43" s="2">
        <v>43313</v>
      </c>
      <c r="B43" s="4">
        <v>54.727573</v>
      </c>
      <c r="C43" s="4">
        <v>21.877680000000002</v>
      </c>
      <c r="D43" s="4">
        <v>43.141680999999998</v>
      </c>
      <c r="E43" s="4">
        <v>42.407721000000002</v>
      </c>
      <c r="F43" s="4">
        <v>41.322341000000002</v>
      </c>
      <c r="G43" s="3">
        <v>3.45</v>
      </c>
      <c r="H43" s="3">
        <v>1.1399999999999999</v>
      </c>
      <c r="I43" s="3">
        <v>-3.91</v>
      </c>
      <c r="J43" s="3">
        <v>0.16</v>
      </c>
      <c r="K43" s="4">
        <v>5.8018468536976897E-2</v>
      </c>
      <c r="L43" s="4">
        <v>-2.6981562735097799E-2</v>
      </c>
      <c r="M43" s="4">
        <v>0.101950082781009</v>
      </c>
      <c r="N43" s="4">
        <v>3.9819346674091899E-2</v>
      </c>
      <c r="O43" s="4">
        <v>0.25384790826525</v>
      </c>
      <c r="P43" s="5">
        <f t="shared" si="0"/>
        <v>-0.10198153146302311</v>
      </c>
      <c r="Q43" s="5">
        <f t="shared" si="1"/>
        <v>-0.18698156273509781</v>
      </c>
      <c r="R43" s="5">
        <f t="shared" si="2"/>
        <v>-5.8049917218990998E-2</v>
      </c>
      <c r="S43" s="5">
        <f t="shared" si="3"/>
        <v>-0.1201806533259081</v>
      </c>
      <c r="T43" s="5">
        <f t="shared" si="4"/>
        <v>9.3847908265249996E-2</v>
      </c>
    </row>
    <row r="44" spans="1:20" x14ac:dyDescent="0.3">
      <c r="A44" s="2">
        <v>43344</v>
      </c>
      <c r="B44" s="4">
        <v>54.841774000000001</v>
      </c>
      <c r="C44" s="4">
        <v>21.877680000000002</v>
      </c>
      <c r="D44" s="4">
        <v>43.141680999999998</v>
      </c>
      <c r="E44" s="4">
        <v>42.407721000000002</v>
      </c>
      <c r="F44" s="4">
        <v>41.527729000000001</v>
      </c>
      <c r="G44" s="3">
        <v>0.06</v>
      </c>
      <c r="H44" s="3">
        <v>-2.29</v>
      </c>
      <c r="I44" s="3">
        <v>-1.62</v>
      </c>
      <c r="J44" s="3">
        <v>0.15</v>
      </c>
      <c r="K44" s="4">
        <v>8.2677123542441902E-2</v>
      </c>
      <c r="L44" s="4">
        <v>1.95424421039887E-2</v>
      </c>
      <c r="M44" s="4">
        <v>2.49999448231303E-2</v>
      </c>
      <c r="N44" s="4">
        <v>7.0454324279260502E-2</v>
      </c>
      <c r="O44" s="4">
        <v>1.61120203247604E-2</v>
      </c>
      <c r="P44" s="5">
        <f t="shared" si="0"/>
        <v>-6.7322876457558092E-2</v>
      </c>
      <c r="Q44" s="5">
        <f t="shared" si="1"/>
        <v>-0.13045755789601129</v>
      </c>
      <c r="R44" s="5">
        <f t="shared" si="2"/>
        <v>-0.12500005517686968</v>
      </c>
      <c r="S44" s="5">
        <f t="shared" si="3"/>
        <v>-7.9545675720739492E-2</v>
      </c>
      <c r="T44" s="5">
        <f t="shared" si="4"/>
        <v>-0.1338879796752396</v>
      </c>
    </row>
    <row r="45" spans="1:20" x14ac:dyDescent="0.3">
      <c r="A45" s="2">
        <v>43374</v>
      </c>
      <c r="B45" s="4">
        <v>54.639637999999998</v>
      </c>
      <c r="C45" s="4">
        <v>21.877680000000002</v>
      </c>
      <c r="D45" s="4">
        <v>43.084117999999997</v>
      </c>
      <c r="E45" s="4">
        <v>42.407721000000002</v>
      </c>
      <c r="F45" s="4">
        <v>42.515765000000002</v>
      </c>
      <c r="G45" s="3">
        <v>-7.65</v>
      </c>
      <c r="H45" s="3">
        <v>-4.7</v>
      </c>
      <c r="I45" s="3">
        <v>3.38</v>
      </c>
      <c r="J45" s="3">
        <v>0.19</v>
      </c>
      <c r="K45" s="4">
        <v>-6.1298717151988598E-2</v>
      </c>
      <c r="L45" s="4">
        <v>-0.11009602153971799</v>
      </c>
      <c r="M45" s="4">
        <v>-9.2020867963009706E-2</v>
      </c>
      <c r="N45" s="4">
        <v>-2.29182624187237E-2</v>
      </c>
      <c r="O45" s="4">
        <v>-0.16743745516515399</v>
      </c>
      <c r="P45" s="5">
        <f t="shared" si="0"/>
        <v>-0.25129871715198859</v>
      </c>
      <c r="Q45" s="5">
        <f t="shared" si="1"/>
        <v>-0.30009602153971798</v>
      </c>
      <c r="R45" s="5">
        <f t="shared" si="2"/>
        <v>-0.28202086796300974</v>
      </c>
      <c r="S45" s="5">
        <f t="shared" si="3"/>
        <v>-0.21291826241872369</v>
      </c>
      <c r="T45" s="5">
        <f t="shared" si="4"/>
        <v>-0.35743745516515402</v>
      </c>
    </row>
    <row r="46" spans="1:20" x14ac:dyDescent="0.3">
      <c r="A46" s="2">
        <v>43405</v>
      </c>
      <c r="B46" s="4">
        <v>54.417208000000002</v>
      </c>
      <c r="C46" s="4">
        <v>23.396263999999999</v>
      </c>
      <c r="D46" s="4">
        <v>43.005654</v>
      </c>
      <c r="E46" s="4">
        <v>42.568308000000002</v>
      </c>
      <c r="F46" s="4">
        <v>41.848756000000002</v>
      </c>
      <c r="G46" s="3">
        <v>1.71</v>
      </c>
      <c r="H46" s="3">
        <v>-0.73</v>
      </c>
      <c r="I46" s="3">
        <v>0.36</v>
      </c>
      <c r="J46" s="3">
        <v>0.18</v>
      </c>
      <c r="K46" s="4">
        <v>4.2335329417164003E-2</v>
      </c>
      <c r="L46" s="4">
        <v>5.5147821918351402E-2</v>
      </c>
      <c r="M46" s="4">
        <v>1.8592400005937398E-2</v>
      </c>
      <c r="N46" s="4">
        <v>7.3618406511354706E-2</v>
      </c>
      <c r="O46" s="4">
        <v>-4.8520562563414298E-2</v>
      </c>
      <c r="P46" s="5">
        <f t="shared" si="0"/>
        <v>-0.13766467058283599</v>
      </c>
      <c r="Q46" s="5">
        <f t="shared" si="1"/>
        <v>-0.12485217808164858</v>
      </c>
      <c r="R46" s="5">
        <f t="shared" si="2"/>
        <v>-0.16140759999406259</v>
      </c>
      <c r="S46" s="5">
        <f t="shared" si="3"/>
        <v>-0.10638159348864529</v>
      </c>
      <c r="T46" s="5">
        <f t="shared" si="4"/>
        <v>-0.2285205625634143</v>
      </c>
    </row>
    <row r="47" spans="1:20" x14ac:dyDescent="0.3">
      <c r="A47" s="2">
        <v>43435</v>
      </c>
      <c r="B47" s="4">
        <v>55.252803999999998</v>
      </c>
      <c r="C47" s="4">
        <v>23.396263999999999</v>
      </c>
      <c r="D47" s="4">
        <v>43.705047999999998</v>
      </c>
      <c r="E47" s="4">
        <v>42.568308000000002</v>
      </c>
      <c r="F47" s="4">
        <v>43.091197999999999</v>
      </c>
      <c r="G47" s="3">
        <v>-9.5500000000000007</v>
      </c>
      <c r="H47" s="3">
        <v>-2.31</v>
      </c>
      <c r="I47" s="3">
        <v>-1.92</v>
      </c>
      <c r="J47" s="3">
        <v>0.19</v>
      </c>
      <c r="K47" s="4">
        <v>-6.1852883716841903E-2</v>
      </c>
      <c r="L47" s="4">
        <v>-0.130525355975593</v>
      </c>
      <c r="M47" s="4">
        <v>-9.7858227863818897E-2</v>
      </c>
      <c r="N47" s="4">
        <v>-4.8521749475989903E-2</v>
      </c>
      <c r="O47" s="4">
        <v>-5.4926731723927702E-2</v>
      </c>
      <c r="P47" s="5">
        <f t="shared" si="0"/>
        <v>-0.25185288371684189</v>
      </c>
      <c r="Q47" s="5">
        <f t="shared" si="1"/>
        <v>-0.32052535597559301</v>
      </c>
      <c r="R47" s="5">
        <f t="shared" si="2"/>
        <v>-0.28785822786381887</v>
      </c>
      <c r="S47" s="5">
        <f t="shared" si="3"/>
        <v>-0.23852174947598992</v>
      </c>
      <c r="T47" s="5">
        <f t="shared" si="4"/>
        <v>-0.2449267317239277</v>
      </c>
    </row>
    <row r="48" spans="1:20" x14ac:dyDescent="0.3">
      <c r="A48" s="2">
        <v>43466</v>
      </c>
      <c r="B48" s="4">
        <v>53.833559000000001</v>
      </c>
      <c r="C48" s="4">
        <v>23.396263999999999</v>
      </c>
      <c r="D48" s="4">
        <v>44.373230999999997</v>
      </c>
      <c r="E48" s="4">
        <v>42.568308000000002</v>
      </c>
      <c r="F48" s="4">
        <v>42.927908000000002</v>
      </c>
      <c r="G48" s="3">
        <v>8.3699999999999992</v>
      </c>
      <c r="H48" s="3">
        <v>2.76</v>
      </c>
      <c r="I48" s="3">
        <v>-0.39</v>
      </c>
      <c r="J48" s="3">
        <v>0.21</v>
      </c>
      <c r="K48" s="4">
        <v>7.9513337893555303E-2</v>
      </c>
      <c r="L48" s="4">
        <v>0.12870675803939399</v>
      </c>
      <c r="M48" s="4">
        <v>9.3376735431579302E-2</v>
      </c>
      <c r="N48" s="4">
        <v>-2.7491817776381801E-2</v>
      </c>
      <c r="O48" s="4">
        <v>2.35754255392925E-2</v>
      </c>
      <c r="P48" s="5">
        <f t="shared" si="0"/>
        <v>-0.13048666210644469</v>
      </c>
      <c r="Q48" s="5">
        <f t="shared" si="1"/>
        <v>-8.1293241960606E-2</v>
      </c>
      <c r="R48" s="5">
        <f t="shared" si="2"/>
        <v>-0.11662326456842069</v>
      </c>
      <c r="S48" s="5">
        <f t="shared" si="3"/>
        <v>-0.23749181777638179</v>
      </c>
      <c r="T48" s="5">
        <f t="shared" si="4"/>
        <v>-0.18642457446070748</v>
      </c>
    </row>
    <row r="49" spans="1:20" x14ac:dyDescent="0.3">
      <c r="A49" s="2">
        <v>43497</v>
      </c>
      <c r="B49" s="4">
        <v>53.362299</v>
      </c>
      <c r="C49" s="4">
        <v>23.396263999999999</v>
      </c>
      <c r="D49" s="4">
        <v>44.617398999999999</v>
      </c>
      <c r="E49" s="4">
        <v>42.481003000000001</v>
      </c>
      <c r="F49" s="4">
        <v>42.350476</v>
      </c>
      <c r="G49" s="3">
        <v>3.42</v>
      </c>
      <c r="H49" s="3">
        <v>2.0499999999999998</v>
      </c>
      <c r="I49" s="3">
        <v>-2.66</v>
      </c>
      <c r="J49" s="3">
        <v>0.18</v>
      </c>
      <c r="K49" s="4">
        <v>5.1638199926925699E-2</v>
      </c>
      <c r="L49" s="4">
        <v>-7.1275806207334896E-2</v>
      </c>
      <c r="M49" s="4">
        <v>4.5775756637984298E-2</v>
      </c>
      <c r="N49" s="4">
        <v>3.0120476232464499E-2</v>
      </c>
      <c r="O49" s="4">
        <v>0.156669550907859</v>
      </c>
      <c r="P49" s="5">
        <f t="shared" si="0"/>
        <v>-0.12836180007307429</v>
      </c>
      <c r="Q49" s="5">
        <f t="shared" si="1"/>
        <v>-0.25127580620733492</v>
      </c>
      <c r="R49" s="5">
        <f t="shared" si="2"/>
        <v>-0.13422424336201569</v>
      </c>
      <c r="S49" s="5">
        <f t="shared" si="3"/>
        <v>-0.14987952376753549</v>
      </c>
      <c r="T49" s="5">
        <f t="shared" si="4"/>
        <v>-2.3330449092140992E-2</v>
      </c>
    </row>
    <row r="50" spans="1:20" x14ac:dyDescent="0.3">
      <c r="A50" s="2">
        <v>43525</v>
      </c>
      <c r="B50" s="4">
        <v>53.814163999999998</v>
      </c>
      <c r="C50" s="4">
        <v>23.396263999999999</v>
      </c>
      <c r="D50" s="4">
        <v>44.617398999999999</v>
      </c>
      <c r="E50" s="4">
        <v>42.481003000000001</v>
      </c>
      <c r="F50" s="4">
        <v>41.205717</v>
      </c>
      <c r="G50" s="3">
        <v>1.1000000000000001</v>
      </c>
      <c r="H50" s="3">
        <v>-3.03</v>
      </c>
      <c r="I50" s="3">
        <v>-4.1399999999999997</v>
      </c>
      <c r="J50" s="3">
        <v>0.19</v>
      </c>
      <c r="K50" s="4">
        <v>-4.3369838237624997E-2</v>
      </c>
      <c r="L50" s="4">
        <v>-1.5374412086765999E-4</v>
      </c>
      <c r="M50" s="4">
        <v>4.1945884728752797E-2</v>
      </c>
      <c r="N50" s="4">
        <v>-2.02997893050984E-2</v>
      </c>
      <c r="O50" s="4">
        <v>1.25651435392004E-2</v>
      </c>
      <c r="P50" s="5">
        <f t="shared" si="0"/>
        <v>-0.233369838237625</v>
      </c>
      <c r="Q50" s="5">
        <f t="shared" si="1"/>
        <v>-0.19015374412086766</v>
      </c>
      <c r="R50" s="5">
        <f t="shared" si="2"/>
        <v>-0.14805411527124721</v>
      </c>
      <c r="S50" s="5">
        <f t="shared" si="3"/>
        <v>-0.21029978930509841</v>
      </c>
      <c r="T50" s="5">
        <f t="shared" si="4"/>
        <v>-0.17743485646079959</v>
      </c>
    </row>
    <row r="51" spans="1:20" x14ac:dyDescent="0.3">
      <c r="A51" s="2">
        <v>43556</v>
      </c>
      <c r="B51" s="4">
        <v>55.655031999999999</v>
      </c>
      <c r="C51" s="4">
        <v>23.396263999999999</v>
      </c>
      <c r="D51" s="4">
        <v>44.617811000000003</v>
      </c>
      <c r="E51" s="4">
        <v>42.481003000000001</v>
      </c>
      <c r="F51" s="4">
        <v>41.932136</v>
      </c>
      <c r="G51" s="3">
        <v>3.97</v>
      </c>
      <c r="H51" s="3">
        <v>-1.74</v>
      </c>
      <c r="I51" s="3">
        <v>2.13</v>
      </c>
      <c r="J51" s="3">
        <v>0.21</v>
      </c>
      <c r="K51" s="4">
        <v>-3.2829653495690801E-2</v>
      </c>
      <c r="L51" s="4">
        <v>1.0140317786707599E-2</v>
      </c>
      <c r="M51" s="4">
        <v>-0.105068470401162</v>
      </c>
      <c r="N51" s="4">
        <v>-4.3795830587515697E-2</v>
      </c>
      <c r="O51" s="4">
        <v>-9.2964524958848299E-2</v>
      </c>
      <c r="P51" s="5">
        <f t="shared" si="0"/>
        <v>-0.2428296534956908</v>
      </c>
      <c r="Q51" s="5">
        <f t="shared" si="1"/>
        <v>-0.19985968221329239</v>
      </c>
      <c r="R51" s="5">
        <f t="shared" si="2"/>
        <v>-0.31506847040116198</v>
      </c>
      <c r="S51" s="5">
        <f t="shared" si="3"/>
        <v>-0.2537958305875157</v>
      </c>
      <c r="T51" s="5">
        <f t="shared" si="4"/>
        <v>-0.30296452495884829</v>
      </c>
    </row>
    <row r="52" spans="1:20" x14ac:dyDescent="0.3">
      <c r="A52" s="2">
        <v>43586</v>
      </c>
      <c r="B52" s="4">
        <v>55.466076999999999</v>
      </c>
      <c r="C52" s="4">
        <v>23.396263999999999</v>
      </c>
      <c r="D52" s="4">
        <v>44.895578999999998</v>
      </c>
      <c r="E52" s="4">
        <v>42.481003000000001</v>
      </c>
      <c r="F52" s="4">
        <v>43.262582000000002</v>
      </c>
      <c r="G52" s="3">
        <v>-6.92</v>
      </c>
      <c r="H52" s="3">
        <v>-1.26</v>
      </c>
      <c r="I52" s="3">
        <v>-2.4500000000000002</v>
      </c>
      <c r="J52" s="3">
        <v>0.21</v>
      </c>
      <c r="K52" s="4">
        <v>3.4752180836386801E-2</v>
      </c>
      <c r="L52" s="4">
        <v>-4.2896738595500798E-2</v>
      </c>
      <c r="M52" s="4">
        <v>-8.9654010714410898E-2</v>
      </c>
      <c r="N52" s="4">
        <v>2.2408322716213201E-2</v>
      </c>
      <c r="O52" s="4">
        <v>0.27292754684669301</v>
      </c>
      <c r="P52" s="5">
        <f t="shared" si="0"/>
        <v>-0.17524781916361321</v>
      </c>
      <c r="Q52" s="5">
        <f t="shared" si="1"/>
        <v>-0.25289673859550077</v>
      </c>
      <c r="R52" s="5">
        <f t="shared" si="2"/>
        <v>-0.29965401071441089</v>
      </c>
      <c r="S52" s="5">
        <f t="shared" si="3"/>
        <v>-0.18759167728378678</v>
      </c>
      <c r="T52" s="5">
        <f t="shared" si="4"/>
        <v>6.2927546846693022E-2</v>
      </c>
    </row>
    <row r="53" spans="1:20" x14ac:dyDescent="0.3">
      <c r="A53" s="2">
        <v>43617</v>
      </c>
      <c r="B53" s="4">
        <v>55.378563999999997</v>
      </c>
      <c r="C53" s="4">
        <v>23.396263999999999</v>
      </c>
      <c r="D53" s="4">
        <v>44.907032999999998</v>
      </c>
      <c r="E53" s="4">
        <v>42.481003000000001</v>
      </c>
      <c r="F53" s="4">
        <v>43.120832</v>
      </c>
      <c r="G53" s="3">
        <v>6.92</v>
      </c>
      <c r="H53" s="3">
        <v>0.26</v>
      </c>
      <c r="I53" s="3">
        <v>-0.64</v>
      </c>
      <c r="J53" s="3">
        <v>0.18</v>
      </c>
      <c r="K53" s="4">
        <v>0.11897942496691</v>
      </c>
      <c r="L53" s="4">
        <v>8.5301604947498097E-2</v>
      </c>
      <c r="M53" s="4">
        <v>0.12842858694550699</v>
      </c>
      <c r="N53" s="4">
        <v>5.26064938058226E-2</v>
      </c>
      <c r="O53" s="4">
        <v>8.73485404674436E-2</v>
      </c>
      <c r="P53" s="5">
        <f t="shared" si="0"/>
        <v>-6.1020575033089997E-2</v>
      </c>
      <c r="Q53" s="5">
        <f t="shared" si="1"/>
        <v>-9.4698395052501896E-2</v>
      </c>
      <c r="R53" s="5">
        <f t="shared" si="2"/>
        <v>-5.1571413054493004E-2</v>
      </c>
      <c r="S53" s="5">
        <f t="shared" si="3"/>
        <v>-0.12739350619417739</v>
      </c>
      <c r="T53" s="5">
        <f t="shared" si="4"/>
        <v>-9.2651459532556393E-2</v>
      </c>
    </row>
    <row r="54" spans="1:20" x14ac:dyDescent="0.3">
      <c r="A54" s="2">
        <v>43647</v>
      </c>
      <c r="B54" s="4">
        <v>55.771318999999998</v>
      </c>
      <c r="C54" s="4">
        <v>24.851759000000001</v>
      </c>
      <c r="D54" s="4">
        <v>45.145271000000001</v>
      </c>
      <c r="E54" s="4">
        <v>42.495069000000001</v>
      </c>
      <c r="F54" s="4">
        <v>46.911290000000001</v>
      </c>
      <c r="G54" s="3">
        <v>1.23</v>
      </c>
      <c r="H54" s="3">
        <v>-1.96</v>
      </c>
      <c r="I54" s="3">
        <v>0.5</v>
      </c>
      <c r="J54" s="3">
        <v>0.19</v>
      </c>
      <c r="K54" s="4">
        <v>-1.20986613146114E-2</v>
      </c>
      <c r="L54" s="4">
        <v>-2.0959539281355799E-2</v>
      </c>
      <c r="M54" s="4">
        <v>-9.6082806744410797E-3</v>
      </c>
      <c r="N54" s="4">
        <v>-0.103416579674625</v>
      </c>
      <c r="O54" s="4">
        <v>2.9820784636400699E-2</v>
      </c>
      <c r="P54" s="5">
        <f t="shared" si="0"/>
        <v>-0.20209866131461141</v>
      </c>
      <c r="Q54" s="5">
        <f t="shared" si="1"/>
        <v>-0.2109595392813558</v>
      </c>
      <c r="R54" s="5">
        <f t="shared" si="2"/>
        <v>-0.19960828067444109</v>
      </c>
      <c r="S54" s="5">
        <f t="shared" si="3"/>
        <v>-0.29341657967462498</v>
      </c>
      <c r="T54" s="5">
        <f t="shared" si="4"/>
        <v>-0.1601792153635993</v>
      </c>
    </row>
    <row r="55" spans="1:20" x14ac:dyDescent="0.3">
      <c r="A55" s="2">
        <v>43678</v>
      </c>
      <c r="B55" s="4">
        <v>55.205182000000001</v>
      </c>
      <c r="C55" s="4">
        <v>24.851759000000001</v>
      </c>
      <c r="D55" s="4">
        <v>44.950921000000001</v>
      </c>
      <c r="E55" s="4">
        <v>42.495069000000001</v>
      </c>
      <c r="F55" s="4">
        <v>44.809413999999997</v>
      </c>
      <c r="G55" s="3">
        <v>-2.5499999999999998</v>
      </c>
      <c r="H55" s="3">
        <v>-2.39</v>
      </c>
      <c r="I55" s="3">
        <v>-4.7699999999999996</v>
      </c>
      <c r="J55" s="3">
        <v>0.16</v>
      </c>
      <c r="K55" s="4">
        <v>6.3589369662140297E-3</v>
      </c>
      <c r="L55" s="4">
        <v>-3.0219493192298299E-2</v>
      </c>
      <c r="M55" s="4">
        <v>-1.57263247994139E-2</v>
      </c>
      <c r="N55" s="4">
        <v>-8.4706354103574993E-2</v>
      </c>
      <c r="O55" s="4">
        <v>0.25402631452218599</v>
      </c>
      <c r="P55" s="5">
        <f t="shared" si="0"/>
        <v>-0.15364106303378597</v>
      </c>
      <c r="Q55" s="5">
        <f t="shared" si="1"/>
        <v>-0.19021949319229831</v>
      </c>
      <c r="R55" s="5">
        <f t="shared" si="2"/>
        <v>-0.17572632479941391</v>
      </c>
      <c r="S55" s="5">
        <f t="shared" si="3"/>
        <v>-0.244706354103575</v>
      </c>
      <c r="T55" s="5">
        <f t="shared" si="4"/>
        <v>9.4026314522185989E-2</v>
      </c>
    </row>
    <row r="56" spans="1:20" x14ac:dyDescent="0.3">
      <c r="A56" s="2">
        <v>43709</v>
      </c>
      <c r="B56" s="4">
        <v>56.413006000000003</v>
      </c>
      <c r="C56" s="4">
        <v>24.851759000000001</v>
      </c>
      <c r="D56" s="4">
        <v>45.699061</v>
      </c>
      <c r="E56" s="4">
        <v>42.806697999999997</v>
      </c>
      <c r="F56" s="4">
        <v>46.563288999999997</v>
      </c>
      <c r="G56" s="3">
        <v>1.41</v>
      </c>
      <c r="H56" s="3">
        <v>-0.97</v>
      </c>
      <c r="I56" s="3">
        <v>6.76</v>
      </c>
      <c r="J56" s="3">
        <v>0.18</v>
      </c>
      <c r="K56" s="4">
        <v>-4.7741655450075797E-2</v>
      </c>
      <c r="L56" s="4">
        <v>-2.5182176410317699E-3</v>
      </c>
      <c r="M56" s="4">
        <v>5.5911909276602903E-2</v>
      </c>
      <c r="N56" s="4">
        <v>2.01445071615367E-2</v>
      </c>
      <c r="O56" s="4">
        <v>6.9793050753264696E-2</v>
      </c>
      <c r="P56" s="5">
        <f t="shared" si="0"/>
        <v>-0.2277416554500758</v>
      </c>
      <c r="Q56" s="5">
        <f t="shared" si="1"/>
        <v>-0.18251821764103177</v>
      </c>
      <c r="R56" s="5">
        <f t="shared" si="2"/>
        <v>-0.12408809072339709</v>
      </c>
      <c r="S56" s="5">
        <f t="shared" si="3"/>
        <v>-0.15985549283846329</v>
      </c>
      <c r="T56" s="5">
        <f t="shared" si="4"/>
        <v>-0.1102069492467353</v>
      </c>
    </row>
    <row r="57" spans="1:20" x14ac:dyDescent="0.3">
      <c r="A57" s="2">
        <v>43739</v>
      </c>
      <c r="B57" s="4">
        <v>56.419595999999999</v>
      </c>
      <c r="C57" s="4">
        <v>26.047367999999999</v>
      </c>
      <c r="D57" s="4">
        <v>45.460602000000002</v>
      </c>
      <c r="E57" s="4">
        <v>42.806697999999997</v>
      </c>
      <c r="F57" s="4">
        <v>47.464598000000002</v>
      </c>
      <c r="G57" s="3">
        <v>2.0699999999999998</v>
      </c>
      <c r="H57" s="3">
        <v>0.27</v>
      </c>
      <c r="I57" s="3">
        <v>-1.92</v>
      </c>
      <c r="J57" s="3">
        <v>0.15</v>
      </c>
      <c r="K57" s="4">
        <v>2.4821876881743199E-2</v>
      </c>
      <c r="L57" s="4">
        <v>1.4595606730402701E-2</v>
      </c>
      <c r="M57" s="4">
        <v>2.41142163286647E-2</v>
      </c>
      <c r="N57" s="4">
        <v>6.7910138639372994E-2</v>
      </c>
      <c r="O57" s="4">
        <v>-0.11889884328141399</v>
      </c>
      <c r="P57" s="5">
        <f t="shared" si="0"/>
        <v>-0.1251781231182568</v>
      </c>
      <c r="Q57" s="5">
        <f t="shared" si="1"/>
        <v>-0.1354043932695973</v>
      </c>
      <c r="R57" s="5">
        <f t="shared" si="2"/>
        <v>-0.12588578367133529</v>
      </c>
      <c r="S57" s="5">
        <f t="shared" si="3"/>
        <v>-8.2089861360627001E-2</v>
      </c>
      <c r="T57" s="5">
        <f t="shared" si="4"/>
        <v>-0.268898843281414</v>
      </c>
    </row>
    <row r="58" spans="1:20" x14ac:dyDescent="0.3">
      <c r="A58" s="2">
        <v>43770</v>
      </c>
      <c r="B58" s="4">
        <v>51.672936</v>
      </c>
      <c r="C58" s="4">
        <v>26.047367999999999</v>
      </c>
      <c r="D58" s="4">
        <v>44.800220000000003</v>
      </c>
      <c r="E58" s="4">
        <v>42.806697999999997</v>
      </c>
      <c r="F58" s="4">
        <v>49.836500999999998</v>
      </c>
      <c r="G58" s="3">
        <v>3.87</v>
      </c>
      <c r="H58" s="3">
        <v>0.72</v>
      </c>
      <c r="I58" s="3">
        <v>-2</v>
      </c>
      <c r="J58" s="3">
        <v>0.12</v>
      </c>
      <c r="K58" s="4">
        <v>3.71702448129951E-2</v>
      </c>
      <c r="L58" s="4">
        <v>5.5407174828975198E-2</v>
      </c>
      <c r="M58" s="4">
        <v>7.22488419725619E-2</v>
      </c>
      <c r="N58" s="4">
        <v>3.9092325989322704E-3</v>
      </c>
      <c r="O58" s="4">
        <v>0.27786944390893697</v>
      </c>
      <c r="P58" s="5">
        <f t="shared" si="0"/>
        <v>-8.2829755187004889E-2</v>
      </c>
      <c r="Q58" s="5">
        <f t="shared" si="1"/>
        <v>-6.4592825171024798E-2</v>
      </c>
      <c r="R58" s="5">
        <f t="shared" si="2"/>
        <v>-4.7751158027438095E-2</v>
      </c>
      <c r="S58" s="5">
        <f t="shared" si="3"/>
        <v>-0.11609076740106772</v>
      </c>
      <c r="T58" s="5">
        <f t="shared" si="4"/>
        <v>0.15786944390893698</v>
      </c>
    </row>
    <row r="59" spans="1:20" x14ac:dyDescent="0.3">
      <c r="A59" s="2">
        <v>43800</v>
      </c>
      <c r="B59" s="4">
        <v>52.980477</v>
      </c>
      <c r="C59" s="4">
        <v>26.047367999999999</v>
      </c>
      <c r="D59" s="4">
        <v>44.694355000000002</v>
      </c>
      <c r="E59" s="4">
        <v>43.936258000000002</v>
      </c>
      <c r="F59" s="4">
        <v>49.863069000000003</v>
      </c>
      <c r="G59" s="3">
        <v>2.77</v>
      </c>
      <c r="H59" s="3">
        <v>0.76</v>
      </c>
      <c r="I59" s="3">
        <v>1.73</v>
      </c>
      <c r="J59" s="3">
        <v>0.14000000000000001</v>
      </c>
      <c r="K59" s="4">
        <v>4.5549161172326602E-2</v>
      </c>
      <c r="L59" s="4">
        <v>-3.3610839599746402E-2</v>
      </c>
      <c r="M59" s="4">
        <v>-2.95156815521313E-3</v>
      </c>
      <c r="N59" s="4">
        <v>2.69636594227495E-2</v>
      </c>
      <c r="O59" s="4">
        <v>-7.8082930739311704E-2</v>
      </c>
      <c r="P59" s="5">
        <f t="shared" si="0"/>
        <v>-9.4450838827673411E-2</v>
      </c>
      <c r="Q59" s="5">
        <f t="shared" si="1"/>
        <v>-0.17361083959974641</v>
      </c>
      <c r="R59" s="5">
        <f t="shared" si="2"/>
        <v>-0.14295156815521315</v>
      </c>
      <c r="S59" s="5">
        <f t="shared" si="3"/>
        <v>-0.11303634057725051</v>
      </c>
      <c r="T59" s="5">
        <f t="shared" si="4"/>
        <v>-0.21808293073931173</v>
      </c>
    </row>
    <row r="60" spans="1:20" x14ac:dyDescent="0.3">
      <c r="A60" s="2">
        <v>43831</v>
      </c>
      <c r="B60" s="4">
        <v>52.386420999999999</v>
      </c>
      <c r="C60" s="4">
        <v>27.014182999999999</v>
      </c>
      <c r="D60" s="4">
        <v>45.391727000000003</v>
      </c>
      <c r="E60" s="4">
        <v>43.936258000000002</v>
      </c>
      <c r="F60" s="4">
        <v>50.821159000000002</v>
      </c>
      <c r="G60" s="3">
        <v>-0.11</v>
      </c>
      <c r="H60" s="3">
        <v>-3.1</v>
      </c>
      <c r="I60" s="3">
        <v>-6.22</v>
      </c>
      <c r="J60" s="3">
        <v>0.13</v>
      </c>
      <c r="K60" s="4">
        <v>-7.4082313100085007E-2</v>
      </c>
      <c r="L60" s="4">
        <v>-1.8268136482908901E-2</v>
      </c>
      <c r="M60" s="4">
        <v>-5.3066048602475303E-2</v>
      </c>
      <c r="N60" s="4">
        <v>-4.9514769585511299E-2</v>
      </c>
      <c r="O60" s="4">
        <v>0.133411195940591</v>
      </c>
      <c r="P60" s="5">
        <f t="shared" si="0"/>
        <v>-0.20408231310008501</v>
      </c>
      <c r="Q60" s="5">
        <f t="shared" si="1"/>
        <v>-0.1482681364829089</v>
      </c>
      <c r="R60" s="5">
        <f t="shared" si="2"/>
        <v>-0.1830660486024753</v>
      </c>
      <c r="S60" s="5">
        <f t="shared" si="3"/>
        <v>-0.1795147695855113</v>
      </c>
      <c r="T60" s="5">
        <f t="shared" si="4"/>
        <v>3.4111959405909997E-3</v>
      </c>
    </row>
    <row r="61" spans="1:20" x14ac:dyDescent="0.3">
      <c r="A61" s="2">
        <v>43862</v>
      </c>
      <c r="B61" s="4">
        <v>51.588850000000001</v>
      </c>
      <c r="C61" s="4">
        <v>27.809802999999999</v>
      </c>
      <c r="D61" s="4">
        <v>45.295985000000002</v>
      </c>
      <c r="E61" s="4">
        <v>44.692096999999997</v>
      </c>
      <c r="F61" s="4">
        <v>50.458137000000001</v>
      </c>
      <c r="G61" s="3">
        <v>-8.15</v>
      </c>
      <c r="H61" s="3">
        <v>1.08</v>
      </c>
      <c r="I61" s="3">
        <v>-3.82</v>
      </c>
      <c r="J61" s="3">
        <v>0.12</v>
      </c>
      <c r="K61" s="4">
        <v>-0.10699784228617901</v>
      </c>
      <c r="L61" s="4">
        <v>9.7468396331423096E-2</v>
      </c>
      <c r="M61" s="4">
        <v>-4.6125302682298003E-2</v>
      </c>
      <c r="N61" s="4">
        <v>-9.3410618097541795E-2</v>
      </c>
      <c r="O61" s="4">
        <v>-2.0975016523671099E-2</v>
      </c>
      <c r="P61" s="5">
        <f t="shared" si="0"/>
        <v>-0.226997842286179</v>
      </c>
      <c r="Q61" s="5">
        <f t="shared" si="1"/>
        <v>-2.2531603668576899E-2</v>
      </c>
      <c r="R61" s="5">
        <f t="shared" si="2"/>
        <v>-0.166125302682298</v>
      </c>
      <c r="S61" s="5">
        <f t="shared" si="3"/>
        <v>-0.2134106180975418</v>
      </c>
      <c r="T61" s="5">
        <f t="shared" si="4"/>
        <v>-0.14097501652367109</v>
      </c>
    </row>
    <row r="62" spans="1:20" x14ac:dyDescent="0.3">
      <c r="A62" s="2">
        <v>43891</v>
      </c>
      <c r="B62" s="4">
        <v>51.910060999999999</v>
      </c>
      <c r="C62" s="4">
        <v>27.951328</v>
      </c>
      <c r="D62" s="4">
        <v>46.121411999999999</v>
      </c>
      <c r="E62" s="4">
        <v>45.163445000000003</v>
      </c>
      <c r="F62" s="4">
        <v>52.212681000000003</v>
      </c>
      <c r="G62" s="3">
        <v>-13.37</v>
      </c>
      <c r="H62" s="3">
        <v>-4.6900000000000004</v>
      </c>
      <c r="I62" s="3">
        <v>-13.83</v>
      </c>
      <c r="J62" s="3">
        <v>0.12</v>
      </c>
      <c r="K62" s="4">
        <v>-0.12730672370246199</v>
      </c>
      <c r="L62" s="4">
        <v>7.7854738389962805E-2</v>
      </c>
      <c r="M62" s="4">
        <v>-7.2570923107601104E-2</v>
      </c>
      <c r="N62" s="4">
        <v>-2.3339485410834901E-2</v>
      </c>
      <c r="O62" s="4">
        <v>-0.127862338205189</v>
      </c>
      <c r="P62" s="5">
        <f t="shared" si="0"/>
        <v>-0.24730672370246198</v>
      </c>
      <c r="Q62" s="5">
        <f t="shared" si="1"/>
        <v>-4.2145261610037191E-2</v>
      </c>
      <c r="R62" s="5">
        <f t="shared" si="2"/>
        <v>-0.1925709231076011</v>
      </c>
      <c r="S62" s="5">
        <f t="shared" si="3"/>
        <v>-0.14333948541083491</v>
      </c>
      <c r="T62" s="5">
        <f t="shared" si="4"/>
        <v>-0.24786233820518899</v>
      </c>
    </row>
    <row r="63" spans="1:20" x14ac:dyDescent="0.3">
      <c r="A63" s="2">
        <v>43922</v>
      </c>
      <c r="B63" s="4">
        <v>51.567014</v>
      </c>
      <c r="C63" s="4">
        <v>27.951328</v>
      </c>
      <c r="D63" s="4">
        <v>46.098053</v>
      </c>
      <c r="E63" s="4">
        <v>45.631253999999998</v>
      </c>
      <c r="F63" s="4">
        <v>53.102440999999999</v>
      </c>
      <c r="G63" s="3">
        <v>13.6</v>
      </c>
      <c r="H63" s="3">
        <v>2.5</v>
      </c>
      <c r="I63" s="3">
        <v>-1.34</v>
      </c>
      <c r="J63" s="3">
        <v>0</v>
      </c>
      <c r="K63" s="4">
        <v>0.14863617270488899</v>
      </c>
      <c r="L63" s="4">
        <v>0.13405895498960399</v>
      </c>
      <c r="M63" s="4">
        <v>3.16431053792798E-2</v>
      </c>
      <c r="N63" s="4">
        <v>0.17524544799491101</v>
      </c>
      <c r="O63" s="4">
        <v>0.205456361961185</v>
      </c>
      <c r="P63" s="5">
        <f t="shared" si="0"/>
        <v>0.14863617270488899</v>
      </c>
      <c r="Q63" s="5">
        <f t="shared" si="1"/>
        <v>0.13405895498960399</v>
      </c>
      <c r="R63" s="5">
        <f t="shared" si="2"/>
        <v>3.16431053792798E-2</v>
      </c>
      <c r="S63" s="5">
        <f t="shared" si="3"/>
        <v>0.17524544799491101</v>
      </c>
      <c r="T63" s="5">
        <f t="shared" si="4"/>
        <v>0.205456361961185</v>
      </c>
    </row>
    <row r="64" spans="1:20" x14ac:dyDescent="0.3">
      <c r="A64" s="2">
        <v>43952</v>
      </c>
      <c r="B64" s="4">
        <v>51.054167999999997</v>
      </c>
      <c r="C64" s="4">
        <v>27.951328</v>
      </c>
      <c r="D64" s="4">
        <v>46.699452999999998</v>
      </c>
      <c r="E64" s="4">
        <v>45.631253999999998</v>
      </c>
      <c r="F64" s="4">
        <v>52.607213999999999</v>
      </c>
      <c r="G64" s="3">
        <v>5.57</v>
      </c>
      <c r="H64" s="3">
        <v>2.4</v>
      </c>
      <c r="I64" s="3">
        <v>-5</v>
      </c>
      <c r="J64" s="3">
        <v>0.01</v>
      </c>
      <c r="K64" s="4">
        <v>1.36073143665795E-2</v>
      </c>
      <c r="L64" s="4">
        <v>-7.3452469528671099E-2</v>
      </c>
      <c r="M64" s="4">
        <v>0.13535469874405301</v>
      </c>
      <c r="N64" s="4">
        <v>-4.4317975298352403E-3</v>
      </c>
      <c r="O64" s="4">
        <v>-5.5828128521604202E-2</v>
      </c>
      <c r="P64" s="5">
        <f t="shared" si="0"/>
        <v>3.6073143665794997E-3</v>
      </c>
      <c r="Q64" s="5">
        <f t="shared" si="1"/>
        <v>-8.3452469528671094E-2</v>
      </c>
      <c r="R64" s="5">
        <f t="shared" si="2"/>
        <v>0.125354698744053</v>
      </c>
      <c r="S64" s="5">
        <f t="shared" si="3"/>
        <v>-1.4431797529835241E-2</v>
      </c>
      <c r="T64" s="5">
        <f t="shared" si="4"/>
        <v>-6.5828128521604204E-2</v>
      </c>
    </row>
    <row r="65" spans="1:20" x14ac:dyDescent="0.3">
      <c r="A65" s="2">
        <v>43983</v>
      </c>
      <c r="B65" s="4">
        <v>52.074860999999999</v>
      </c>
      <c r="C65" s="4">
        <v>28.794747999999998</v>
      </c>
      <c r="D65" s="4">
        <v>46.914636999999999</v>
      </c>
      <c r="E65" s="4">
        <v>45.817757999999998</v>
      </c>
      <c r="F65" s="4">
        <v>53.372095000000002</v>
      </c>
      <c r="G65" s="3">
        <v>2.4500000000000002</v>
      </c>
      <c r="H65" s="3">
        <v>2.67</v>
      </c>
      <c r="I65" s="3">
        <v>-2.17</v>
      </c>
      <c r="J65" s="3">
        <v>0.01</v>
      </c>
      <c r="K65" s="4">
        <v>-7.5809448298804705E-2</v>
      </c>
      <c r="L65" s="4">
        <v>-1.14348289844042E-2</v>
      </c>
      <c r="M65" s="4">
        <v>-1.75853442390148E-2</v>
      </c>
      <c r="N65" s="4">
        <v>-0.135221857805402</v>
      </c>
      <c r="O65" s="4">
        <v>3.0174401875236099E-2</v>
      </c>
      <c r="P65" s="5">
        <f t="shared" si="0"/>
        <v>-8.58094482988047E-2</v>
      </c>
      <c r="Q65" s="5">
        <f t="shared" si="1"/>
        <v>-2.14348289844042E-2</v>
      </c>
      <c r="R65" s="5">
        <f t="shared" si="2"/>
        <v>-2.7585344239014799E-2</v>
      </c>
      <c r="S65" s="5">
        <f t="shared" si="3"/>
        <v>-0.145221857805402</v>
      </c>
      <c r="T65" s="5">
        <f t="shared" si="4"/>
        <v>2.01744018752361E-2</v>
      </c>
    </row>
    <row r="66" spans="1:20" x14ac:dyDescent="0.3">
      <c r="A66" s="2">
        <v>44013</v>
      </c>
      <c r="B66" s="4">
        <v>52.701709000000001</v>
      </c>
      <c r="C66" s="4">
        <v>28.794747999999998</v>
      </c>
      <c r="D66" s="4">
        <v>49.577680999999998</v>
      </c>
      <c r="E66" s="4">
        <v>45.817757999999998</v>
      </c>
      <c r="F66" s="4">
        <v>53.531413999999998</v>
      </c>
      <c r="G66" s="3">
        <v>5.83</v>
      </c>
      <c r="H66" s="3">
        <v>-2.35</v>
      </c>
      <c r="I66" s="3">
        <v>-1.44</v>
      </c>
      <c r="J66" s="3">
        <v>0.01</v>
      </c>
      <c r="K66" s="4">
        <v>9.8547394597667301E-2</v>
      </c>
      <c r="L66" s="4">
        <v>-8.8264603595416297E-2</v>
      </c>
      <c r="M66" s="4">
        <v>0.202885076838071</v>
      </c>
      <c r="N66" s="4">
        <v>0.176758378147539</v>
      </c>
      <c r="O66" s="4">
        <v>4.6844468036857601E-2</v>
      </c>
      <c r="P66" s="5">
        <f t="shared" si="0"/>
        <v>8.8547394597667306E-2</v>
      </c>
      <c r="Q66" s="5">
        <f t="shared" si="1"/>
        <v>-9.8264603595416292E-2</v>
      </c>
      <c r="R66" s="5">
        <f t="shared" si="2"/>
        <v>0.19288507683807099</v>
      </c>
      <c r="S66" s="5">
        <f t="shared" si="3"/>
        <v>0.16675837814753899</v>
      </c>
      <c r="T66" s="5">
        <f t="shared" si="4"/>
        <v>3.6844468036857599E-2</v>
      </c>
    </row>
    <row r="67" spans="1:20" x14ac:dyDescent="0.3">
      <c r="A67" s="2">
        <v>44044</v>
      </c>
      <c r="B67" s="4">
        <v>53.091856</v>
      </c>
      <c r="C67" s="4">
        <v>28.794747999999998</v>
      </c>
      <c r="D67" s="4">
        <v>49.941758999999998</v>
      </c>
      <c r="E67" s="4">
        <v>45.817757999999998</v>
      </c>
      <c r="F67" s="4">
        <v>53.684849999999997</v>
      </c>
      <c r="G67" s="3">
        <v>7.62</v>
      </c>
      <c r="H67" s="3">
        <v>-0.2</v>
      </c>
      <c r="I67" s="3">
        <v>-3.02</v>
      </c>
      <c r="J67" s="3">
        <v>0.01</v>
      </c>
      <c r="K67" s="4">
        <v>6.3520891426613602E-2</v>
      </c>
      <c r="L67" s="4">
        <v>-3.9982761237887299E-2</v>
      </c>
      <c r="M67" s="4">
        <v>6.6234819598274694E-2</v>
      </c>
      <c r="N67" s="4">
        <v>-8.3329013027217905E-3</v>
      </c>
      <c r="O67" s="4">
        <v>7.3219902365059694E-2</v>
      </c>
      <c r="P67" s="5">
        <f t="shared" ref="P67:P121" si="5">K67-J67</f>
        <v>5.35208914266136E-2</v>
      </c>
      <c r="Q67" s="5">
        <f t="shared" ref="Q67:Q121" si="6">L67-J67</f>
        <v>-4.9982761237887301E-2</v>
      </c>
      <c r="R67" s="5">
        <f t="shared" ref="R67:R121" si="7">M67-J67</f>
        <v>5.6234819598274692E-2</v>
      </c>
      <c r="S67" s="5">
        <f t="shared" ref="S67:S121" si="8">N67-J67</f>
        <v>-1.8332901302721791E-2</v>
      </c>
      <c r="T67" s="5">
        <f t="shared" ref="T67:T121" si="9">O67-J67</f>
        <v>6.3219902365059699E-2</v>
      </c>
    </row>
    <row r="68" spans="1:20" x14ac:dyDescent="0.3">
      <c r="A68" s="2">
        <v>44075</v>
      </c>
      <c r="B68" s="4">
        <v>52.91695</v>
      </c>
      <c r="C68" s="4">
        <v>28.794747999999998</v>
      </c>
      <c r="D68" s="4">
        <v>50.708185</v>
      </c>
      <c r="E68" s="4">
        <v>46.037937999999997</v>
      </c>
      <c r="F68" s="4">
        <v>54.556480999999998</v>
      </c>
      <c r="G68" s="3">
        <v>-3.64</v>
      </c>
      <c r="H68" s="3">
        <v>0.06</v>
      </c>
      <c r="I68" s="3">
        <v>-2.72</v>
      </c>
      <c r="J68" s="3">
        <v>0.01</v>
      </c>
      <c r="K68" s="4">
        <v>-6.8503201899871594E-2</v>
      </c>
      <c r="L68" s="4">
        <v>-5.3333417441921403E-2</v>
      </c>
      <c r="M68" s="4">
        <v>-2.9144509175222998E-2</v>
      </c>
      <c r="N68" s="4">
        <v>-2.88437353482093E-2</v>
      </c>
      <c r="O68" s="4">
        <v>8.4032056530999294E-2</v>
      </c>
      <c r="P68" s="5">
        <f t="shared" si="5"/>
        <v>-7.8503201899871589E-2</v>
      </c>
      <c r="Q68" s="5">
        <f t="shared" si="6"/>
        <v>-6.3333417441921405E-2</v>
      </c>
      <c r="R68" s="5">
        <f t="shared" si="7"/>
        <v>-3.9144509175222997E-2</v>
      </c>
      <c r="S68" s="5">
        <f t="shared" si="8"/>
        <v>-3.8843735348209299E-2</v>
      </c>
      <c r="T68" s="5">
        <f t="shared" si="9"/>
        <v>7.4032056530999299E-2</v>
      </c>
    </row>
    <row r="69" spans="1:20" x14ac:dyDescent="0.3">
      <c r="A69" s="2">
        <v>44105</v>
      </c>
      <c r="B69" s="4">
        <v>52.870995000000001</v>
      </c>
      <c r="C69" s="4">
        <v>28.794747999999998</v>
      </c>
      <c r="D69" s="4">
        <v>50.558478999999998</v>
      </c>
      <c r="E69" s="4">
        <v>46.037937999999997</v>
      </c>
      <c r="F69" s="4">
        <v>54.587665999999999</v>
      </c>
      <c r="G69" s="3">
        <v>-2.08</v>
      </c>
      <c r="H69" s="3">
        <v>4.34</v>
      </c>
      <c r="I69" s="3">
        <v>4.25</v>
      </c>
      <c r="J69" s="3">
        <v>0.01</v>
      </c>
      <c r="K69" s="4">
        <v>-0.103114334496544</v>
      </c>
      <c r="L69" s="4">
        <v>-7.0117429759587693E-2</v>
      </c>
      <c r="M69" s="4">
        <v>-5.9841596249014001E-2</v>
      </c>
      <c r="N69" s="4">
        <v>-3.3242471601046403E-2</v>
      </c>
      <c r="O69" s="4">
        <v>-6.0611169364112302E-2</v>
      </c>
      <c r="P69" s="5">
        <f t="shared" si="5"/>
        <v>-0.113114334496544</v>
      </c>
      <c r="Q69" s="5">
        <f t="shared" si="6"/>
        <v>-8.0117429759587688E-2</v>
      </c>
      <c r="R69" s="5">
        <f t="shared" si="7"/>
        <v>-6.9841596249013996E-2</v>
      </c>
      <c r="S69" s="5">
        <f t="shared" si="8"/>
        <v>-4.3242471601046405E-2</v>
      </c>
      <c r="T69" s="5">
        <f t="shared" si="9"/>
        <v>-7.0611169364112297E-2</v>
      </c>
    </row>
    <row r="70" spans="1:20" x14ac:dyDescent="0.3">
      <c r="A70" s="2">
        <v>44136</v>
      </c>
      <c r="B70" s="4">
        <v>53.336187000000002</v>
      </c>
      <c r="C70" s="4">
        <v>28.794747999999998</v>
      </c>
      <c r="D70" s="4">
        <v>45.909314999999999</v>
      </c>
      <c r="E70" s="4">
        <v>46.037937999999997</v>
      </c>
      <c r="F70" s="4">
        <v>52.446278999999997</v>
      </c>
      <c r="G70" s="3">
        <v>12.45</v>
      </c>
      <c r="H70" s="3">
        <v>5.81</v>
      </c>
      <c r="I70" s="3">
        <v>2.09</v>
      </c>
      <c r="J70" s="3">
        <v>0.01</v>
      </c>
      <c r="K70" s="4">
        <v>-3.2681614150111102E-2</v>
      </c>
      <c r="L70" s="4">
        <v>4.3336231754866797E-2</v>
      </c>
      <c r="M70" s="4">
        <v>8.8400170594304203E-2</v>
      </c>
      <c r="N70" s="4">
        <v>0.138070445366473</v>
      </c>
      <c r="O70" s="4">
        <v>0.159550017795627</v>
      </c>
      <c r="P70" s="5">
        <f t="shared" si="5"/>
        <v>-4.2681614150111104E-2</v>
      </c>
      <c r="Q70" s="5">
        <f t="shared" si="6"/>
        <v>3.3336231754866795E-2</v>
      </c>
      <c r="R70" s="5">
        <f t="shared" si="7"/>
        <v>7.8400170594304208E-2</v>
      </c>
      <c r="S70" s="5">
        <f t="shared" si="8"/>
        <v>0.128070445366473</v>
      </c>
      <c r="T70" s="5">
        <f t="shared" si="9"/>
        <v>0.14955001779562699</v>
      </c>
    </row>
    <row r="71" spans="1:20" x14ac:dyDescent="0.3">
      <c r="A71" s="2">
        <v>44166</v>
      </c>
      <c r="B71" s="4">
        <v>53.599294999999998</v>
      </c>
      <c r="C71" s="4">
        <v>28.794747999999998</v>
      </c>
      <c r="D71" s="4">
        <v>45.363638999999999</v>
      </c>
      <c r="E71" s="4">
        <v>46.037937999999997</v>
      </c>
      <c r="F71" s="4">
        <v>49.576306000000002</v>
      </c>
      <c r="G71" s="3">
        <v>4.63</v>
      </c>
      <c r="H71" s="3">
        <v>5.01</v>
      </c>
      <c r="I71" s="3">
        <v>-1.68</v>
      </c>
      <c r="J71" s="3">
        <v>0.01</v>
      </c>
      <c r="K71" s="4">
        <v>8.4464528150163004E-2</v>
      </c>
      <c r="L71" s="4">
        <v>-3.9723192072087098E-2</v>
      </c>
      <c r="M71" s="4">
        <v>0.12678197145617501</v>
      </c>
      <c r="N71" s="4">
        <v>-2.9272789927583899E-2</v>
      </c>
      <c r="O71" s="4">
        <v>-8.0710358202320497E-3</v>
      </c>
      <c r="P71" s="5">
        <f t="shared" si="5"/>
        <v>7.4464528150163009E-2</v>
      </c>
      <c r="Q71" s="5">
        <f t="shared" si="6"/>
        <v>-4.97231920720871E-2</v>
      </c>
      <c r="R71" s="5">
        <f t="shared" si="7"/>
        <v>0.11678197145617501</v>
      </c>
      <c r="S71" s="5">
        <f t="shared" si="8"/>
        <v>-3.9272789927583901E-2</v>
      </c>
      <c r="T71" s="5">
        <f t="shared" si="9"/>
        <v>-1.8071035820232048E-2</v>
      </c>
    </row>
    <row r="72" spans="1:20" x14ac:dyDescent="0.3">
      <c r="A72" s="2">
        <v>44197</v>
      </c>
      <c r="B72" s="4">
        <v>53.565705000000001</v>
      </c>
      <c r="C72" s="4">
        <v>28.794747999999998</v>
      </c>
      <c r="D72" s="4">
        <v>45.343837000000001</v>
      </c>
      <c r="E72" s="4">
        <v>46.037937999999997</v>
      </c>
      <c r="F72" s="4">
        <v>49.78454</v>
      </c>
      <c r="G72" s="3">
        <v>-7.0000000000000007E-2</v>
      </c>
      <c r="H72" s="3">
        <v>7.14</v>
      </c>
      <c r="I72" s="3">
        <v>3.22</v>
      </c>
      <c r="J72" s="3">
        <v>0</v>
      </c>
      <c r="K72" s="4">
        <v>-1.4186429079473701E-2</v>
      </c>
      <c r="L72" s="4">
        <v>0.13873109145746501</v>
      </c>
      <c r="M72" s="4">
        <v>-8.6126432071141901E-2</v>
      </c>
      <c r="N72" s="4">
        <v>-2.4721323506207399E-2</v>
      </c>
      <c r="O72" s="4">
        <v>4.5182441702270301E-2</v>
      </c>
      <c r="P72" s="5">
        <f t="shared" si="5"/>
        <v>-1.4186429079473701E-2</v>
      </c>
      <c r="Q72" s="5">
        <f t="shared" si="6"/>
        <v>0.13873109145746501</v>
      </c>
      <c r="R72" s="5">
        <f t="shared" si="7"/>
        <v>-8.6126432071141901E-2</v>
      </c>
      <c r="S72" s="5">
        <f t="shared" si="8"/>
        <v>-2.4721323506207399E-2</v>
      </c>
      <c r="T72" s="5">
        <f t="shared" si="9"/>
        <v>4.5182441702270301E-2</v>
      </c>
    </row>
    <row r="73" spans="1:20" x14ac:dyDescent="0.3">
      <c r="A73" s="2">
        <v>44228</v>
      </c>
      <c r="B73" s="4">
        <v>53.865650000000002</v>
      </c>
      <c r="C73" s="4">
        <v>28.794747999999998</v>
      </c>
      <c r="D73" s="4">
        <v>45.294238999999997</v>
      </c>
      <c r="E73" s="4">
        <v>46.317867</v>
      </c>
      <c r="F73" s="4">
        <v>49.427858000000001</v>
      </c>
      <c r="G73" s="3">
        <v>2.81</v>
      </c>
      <c r="H73" s="3">
        <v>2.02</v>
      </c>
      <c r="I73" s="3">
        <v>7.2</v>
      </c>
      <c r="J73" s="3">
        <v>0</v>
      </c>
      <c r="K73" s="4">
        <v>9.4243800282507201E-2</v>
      </c>
      <c r="L73" s="4">
        <v>-6.4024254092039296E-2</v>
      </c>
      <c r="M73" s="4">
        <v>-1.4498931421474201E-2</v>
      </c>
      <c r="N73" s="4">
        <v>-5.6982683570676797E-2</v>
      </c>
      <c r="O73" s="4">
        <v>-3.0241735136472402E-2</v>
      </c>
      <c r="P73" s="5">
        <f t="shared" si="5"/>
        <v>9.4243800282507201E-2</v>
      </c>
      <c r="Q73" s="5">
        <f t="shared" si="6"/>
        <v>-6.4024254092039296E-2</v>
      </c>
      <c r="R73" s="5">
        <f t="shared" si="7"/>
        <v>-1.4498931421474201E-2</v>
      </c>
      <c r="S73" s="5">
        <f t="shared" si="8"/>
        <v>-5.6982683570676797E-2</v>
      </c>
      <c r="T73" s="5">
        <f t="shared" si="9"/>
        <v>-3.0241735136472402E-2</v>
      </c>
    </row>
    <row r="74" spans="1:20" x14ac:dyDescent="0.3">
      <c r="A74" s="2">
        <v>44256</v>
      </c>
      <c r="B74" s="4">
        <v>54.215231000000003</v>
      </c>
      <c r="C74" s="4">
        <v>30.345891000000002</v>
      </c>
      <c r="D74" s="4">
        <v>44.321044999999998</v>
      </c>
      <c r="E74" s="4">
        <v>46.317867</v>
      </c>
      <c r="F74" s="4">
        <v>49.793407000000002</v>
      </c>
      <c r="G74" s="3">
        <v>3.16</v>
      </c>
      <c r="H74" s="3">
        <v>-2.33</v>
      </c>
      <c r="I74" s="3">
        <v>7.35</v>
      </c>
      <c r="J74" s="3">
        <v>0</v>
      </c>
      <c r="K74" s="4">
        <v>-3.3521727052597799E-3</v>
      </c>
      <c r="L74" s="4">
        <v>5.2605729623689403E-2</v>
      </c>
      <c r="M74" s="4">
        <v>2.9044507823918699E-3</v>
      </c>
      <c r="N74" s="4">
        <v>8.1815400913781006E-2</v>
      </c>
      <c r="O74" s="4">
        <v>7.0243430387710798E-3</v>
      </c>
      <c r="P74" s="5">
        <f t="shared" si="5"/>
        <v>-3.3521727052597799E-3</v>
      </c>
      <c r="Q74" s="5">
        <f t="shared" si="6"/>
        <v>5.2605729623689403E-2</v>
      </c>
      <c r="R74" s="5">
        <f t="shared" si="7"/>
        <v>2.9044507823918699E-3</v>
      </c>
      <c r="S74" s="5">
        <f t="shared" si="8"/>
        <v>8.1815400913781006E-2</v>
      </c>
      <c r="T74" s="5">
        <f t="shared" si="9"/>
        <v>7.0243430387710798E-3</v>
      </c>
    </row>
    <row r="75" spans="1:20" x14ac:dyDescent="0.3">
      <c r="A75" s="2">
        <v>44287</v>
      </c>
      <c r="B75" s="4">
        <v>54.487645000000001</v>
      </c>
      <c r="C75" s="4">
        <v>30.345891000000002</v>
      </c>
      <c r="D75" s="4">
        <v>43.866171999999999</v>
      </c>
      <c r="E75" s="4">
        <v>47.316491999999997</v>
      </c>
      <c r="F75" s="4">
        <v>49.840570999999997</v>
      </c>
      <c r="G75" s="3">
        <v>4.95</v>
      </c>
      <c r="H75" s="3">
        <v>-3.19</v>
      </c>
      <c r="I75" s="3">
        <v>-1.02</v>
      </c>
      <c r="J75" s="3">
        <v>0</v>
      </c>
      <c r="K75" s="4">
        <v>0.12807236100437899</v>
      </c>
      <c r="L75" s="4">
        <v>-6.7706946752493702E-3</v>
      </c>
      <c r="M75" s="4">
        <v>0.170595731450192</v>
      </c>
      <c r="N75" s="4">
        <v>6.6795708675818105E-2</v>
      </c>
      <c r="O75" s="4">
        <v>0.13145786458603201</v>
      </c>
      <c r="P75" s="5">
        <f t="shared" si="5"/>
        <v>0.12807236100437899</v>
      </c>
      <c r="Q75" s="5">
        <f t="shared" si="6"/>
        <v>-6.7706946752493702E-3</v>
      </c>
      <c r="R75" s="5">
        <f t="shared" si="7"/>
        <v>0.170595731450192</v>
      </c>
      <c r="S75" s="5">
        <f t="shared" si="8"/>
        <v>6.6795708675818105E-2</v>
      </c>
      <c r="T75" s="5">
        <f t="shared" si="9"/>
        <v>0.13145786458603201</v>
      </c>
    </row>
    <row r="76" spans="1:20" x14ac:dyDescent="0.3">
      <c r="A76" s="2">
        <v>44317</v>
      </c>
      <c r="B76" s="4">
        <v>54.549809000000003</v>
      </c>
      <c r="C76" s="4">
        <v>30.978266999999999</v>
      </c>
      <c r="D76" s="4">
        <v>43.895769000000001</v>
      </c>
      <c r="E76" s="4">
        <v>47.606875000000002</v>
      </c>
      <c r="F76" s="4">
        <v>49.911529000000002</v>
      </c>
      <c r="G76" s="3">
        <v>0.3</v>
      </c>
      <c r="H76" s="3">
        <v>-0.2</v>
      </c>
      <c r="I76" s="3">
        <v>7.04</v>
      </c>
      <c r="J76" s="3">
        <v>0</v>
      </c>
      <c r="K76" s="4">
        <v>-2.4082552151550501E-2</v>
      </c>
      <c r="L76" s="4">
        <v>4.1594540256782102E-2</v>
      </c>
      <c r="M76" s="4">
        <v>-2.63815809875989E-2</v>
      </c>
      <c r="N76" s="4">
        <v>2.06968347649527E-3</v>
      </c>
      <c r="O76" s="4">
        <v>-8.6545585283254095E-2</v>
      </c>
      <c r="P76" s="5">
        <f t="shared" si="5"/>
        <v>-2.4082552151550501E-2</v>
      </c>
      <c r="Q76" s="5">
        <f t="shared" si="6"/>
        <v>4.1594540256782102E-2</v>
      </c>
      <c r="R76" s="5">
        <f t="shared" si="7"/>
        <v>-2.63815809875989E-2</v>
      </c>
      <c r="S76" s="5">
        <f t="shared" si="8"/>
        <v>2.06968347649527E-3</v>
      </c>
      <c r="T76" s="5">
        <f t="shared" si="9"/>
        <v>-8.6545585283254095E-2</v>
      </c>
    </row>
    <row r="77" spans="1:20" x14ac:dyDescent="0.3">
      <c r="A77" s="2">
        <v>44348</v>
      </c>
      <c r="B77" s="4">
        <v>54.873669999999997</v>
      </c>
      <c r="C77" s="4">
        <v>31.352817000000002</v>
      </c>
      <c r="D77" s="4">
        <v>43.539692000000002</v>
      </c>
      <c r="E77" s="4">
        <v>48.001460000000002</v>
      </c>
      <c r="F77" s="4">
        <v>49.754615000000001</v>
      </c>
      <c r="G77" s="3">
        <v>2.74</v>
      </c>
      <c r="H77" s="3">
        <v>1.7</v>
      </c>
      <c r="I77" s="3">
        <v>-7.86</v>
      </c>
      <c r="J77" s="3">
        <v>0</v>
      </c>
      <c r="K77" s="4">
        <v>4.9353487247481001E-3</v>
      </c>
      <c r="L77" s="4">
        <v>4.1597124245078297E-2</v>
      </c>
      <c r="M77" s="4">
        <v>9.1975617389606606E-2</v>
      </c>
      <c r="N77" s="4">
        <v>2.1065331194248499E-2</v>
      </c>
      <c r="O77" s="4">
        <v>1.7947847728303899E-2</v>
      </c>
      <c r="P77" s="5">
        <f t="shared" si="5"/>
        <v>4.9353487247481001E-3</v>
      </c>
      <c r="Q77" s="5">
        <f t="shared" si="6"/>
        <v>4.1597124245078297E-2</v>
      </c>
      <c r="R77" s="5">
        <f t="shared" si="7"/>
        <v>9.1975617389606606E-2</v>
      </c>
      <c r="S77" s="5">
        <f t="shared" si="8"/>
        <v>2.1065331194248499E-2</v>
      </c>
      <c r="T77" s="5">
        <f t="shared" si="9"/>
        <v>1.7947847728303899E-2</v>
      </c>
    </row>
    <row r="78" spans="1:20" x14ac:dyDescent="0.3">
      <c r="A78" s="2">
        <v>44378</v>
      </c>
      <c r="B78" s="4">
        <v>55.075704999999999</v>
      </c>
      <c r="C78" s="4">
        <v>31.352817000000002</v>
      </c>
      <c r="D78" s="4">
        <v>43.858815</v>
      </c>
      <c r="E78" s="4">
        <v>48.001460000000002</v>
      </c>
      <c r="F78" s="4">
        <v>49.463337000000003</v>
      </c>
      <c r="G78" s="3">
        <v>1.34</v>
      </c>
      <c r="H78" s="3">
        <v>-3.93</v>
      </c>
      <c r="I78" s="3">
        <v>-1.79</v>
      </c>
      <c r="J78" s="3">
        <v>0</v>
      </c>
      <c r="K78" s="4">
        <v>6.6417218523549607E-2</v>
      </c>
      <c r="L78" s="4">
        <v>2.0680681731075601E-3</v>
      </c>
      <c r="M78" s="4">
        <v>7.80957859200683E-2</v>
      </c>
      <c r="N78" s="4">
        <v>9.3207403952985102E-2</v>
      </c>
      <c r="O78" s="4">
        <v>1.8869959169080599E-2</v>
      </c>
      <c r="P78" s="5">
        <f t="shared" si="5"/>
        <v>6.6417218523549607E-2</v>
      </c>
      <c r="Q78" s="5">
        <f t="shared" si="6"/>
        <v>2.0680681731075601E-3</v>
      </c>
      <c r="R78" s="5">
        <f t="shared" si="7"/>
        <v>7.80957859200683E-2</v>
      </c>
      <c r="S78" s="5">
        <f t="shared" si="8"/>
        <v>9.3207403952985102E-2</v>
      </c>
      <c r="T78" s="5">
        <f t="shared" si="9"/>
        <v>1.8869959169080599E-2</v>
      </c>
    </row>
    <row r="79" spans="1:20" x14ac:dyDescent="0.3">
      <c r="A79" s="2">
        <v>44409</v>
      </c>
      <c r="B79" s="4">
        <v>54.776515000000003</v>
      </c>
      <c r="C79" s="4">
        <v>31.352817000000002</v>
      </c>
      <c r="D79" s="4">
        <v>43.620142000000001</v>
      </c>
      <c r="E79" s="4">
        <v>48.529668999999998</v>
      </c>
      <c r="F79" s="4">
        <v>49.334223000000001</v>
      </c>
      <c r="G79" s="3">
        <v>2.94</v>
      </c>
      <c r="H79" s="3">
        <v>-0.32</v>
      </c>
      <c r="I79" s="3">
        <v>-0.23</v>
      </c>
      <c r="J79" s="3">
        <v>0</v>
      </c>
      <c r="K79" s="4">
        <v>-9.8683544583355598E-3</v>
      </c>
      <c r="L79" s="4">
        <v>6.5748924759437305E-2</v>
      </c>
      <c r="M79" s="4">
        <v>6.2634939539975898E-2</v>
      </c>
      <c r="N79" s="4">
        <v>8.5897360428936295E-2</v>
      </c>
      <c r="O79" s="4">
        <v>6.47859950624569E-2</v>
      </c>
      <c r="P79" s="5">
        <f t="shared" si="5"/>
        <v>-9.8683544583355598E-3</v>
      </c>
      <c r="Q79" s="5">
        <f t="shared" si="6"/>
        <v>6.5748924759437305E-2</v>
      </c>
      <c r="R79" s="5">
        <f t="shared" si="7"/>
        <v>6.2634939539975898E-2</v>
      </c>
      <c r="S79" s="5">
        <f t="shared" si="8"/>
        <v>8.5897360428936295E-2</v>
      </c>
      <c r="T79" s="5">
        <f t="shared" si="9"/>
        <v>6.47859950624569E-2</v>
      </c>
    </row>
    <row r="80" spans="1:20" x14ac:dyDescent="0.3">
      <c r="A80" s="2">
        <v>44440</v>
      </c>
      <c r="B80" s="4">
        <v>54.954990000000002</v>
      </c>
      <c r="C80" s="4">
        <v>31.352817000000002</v>
      </c>
      <c r="D80" s="4">
        <v>43.937382999999997</v>
      </c>
      <c r="E80" s="4">
        <v>48.529668999999998</v>
      </c>
      <c r="F80" s="4">
        <v>49.224885999999998</v>
      </c>
      <c r="G80" s="3">
        <v>-4.4000000000000004</v>
      </c>
      <c r="H80" s="3">
        <v>0.66</v>
      </c>
      <c r="I80" s="3">
        <v>5.12</v>
      </c>
      <c r="J80" s="3">
        <v>0</v>
      </c>
      <c r="K80" s="4">
        <v>-3.8981219861569202E-2</v>
      </c>
      <c r="L80" s="4">
        <v>-4.0258472330221999E-2</v>
      </c>
      <c r="M80" s="4">
        <v>-5.6389795167316403E-2</v>
      </c>
      <c r="N80" s="4">
        <v>-6.6420813408793897E-2</v>
      </c>
      <c r="O80" s="4">
        <v>-4.5599498618557097E-2</v>
      </c>
      <c r="P80" s="5">
        <f t="shared" si="5"/>
        <v>-3.8981219861569202E-2</v>
      </c>
      <c r="Q80" s="5">
        <f t="shared" si="6"/>
        <v>-4.0258472330221999E-2</v>
      </c>
      <c r="R80" s="5">
        <f t="shared" si="7"/>
        <v>-5.6389795167316403E-2</v>
      </c>
      <c r="S80" s="5">
        <f t="shared" si="8"/>
        <v>-6.6420813408793897E-2</v>
      </c>
      <c r="T80" s="5">
        <f t="shared" si="9"/>
        <v>-4.5599498618557097E-2</v>
      </c>
    </row>
    <row r="81" spans="1:20" x14ac:dyDescent="0.3">
      <c r="A81" s="2">
        <v>44470</v>
      </c>
      <c r="B81" s="4">
        <v>55.589170000000003</v>
      </c>
      <c r="C81" s="4">
        <v>31.352817000000002</v>
      </c>
      <c r="D81" s="4">
        <v>48.704836</v>
      </c>
      <c r="E81" s="4">
        <v>49.467629000000002</v>
      </c>
      <c r="F81" s="4">
        <v>49.204929</v>
      </c>
      <c r="G81" s="3">
        <v>6.63</v>
      </c>
      <c r="H81" s="3">
        <v>-2.27</v>
      </c>
      <c r="I81" s="3">
        <v>-0.53</v>
      </c>
      <c r="J81" s="3">
        <v>0</v>
      </c>
      <c r="K81" s="4">
        <v>-5.9921254941347401E-3</v>
      </c>
      <c r="L81" s="4">
        <v>-6.1790128496110298E-2</v>
      </c>
      <c r="M81" s="4">
        <v>8.9765147412197405E-2</v>
      </c>
      <c r="N81" s="4">
        <v>1.69730460063683E-2</v>
      </c>
      <c r="O81" s="4">
        <v>9.0736294657442998E-2</v>
      </c>
      <c r="P81" s="5">
        <f t="shared" si="5"/>
        <v>-5.9921254941347401E-3</v>
      </c>
      <c r="Q81" s="5">
        <f t="shared" si="6"/>
        <v>-6.1790128496110298E-2</v>
      </c>
      <c r="R81" s="5">
        <f t="shared" si="7"/>
        <v>8.9765147412197405E-2</v>
      </c>
      <c r="S81" s="5">
        <f t="shared" si="8"/>
        <v>1.69730460063683E-2</v>
      </c>
      <c r="T81" s="5">
        <f t="shared" si="9"/>
        <v>9.0736294657442998E-2</v>
      </c>
    </row>
    <row r="82" spans="1:20" x14ac:dyDescent="0.3">
      <c r="A82" s="2">
        <v>44501</v>
      </c>
      <c r="B82" s="4">
        <v>56.258674999999997</v>
      </c>
      <c r="C82" s="4">
        <v>31.547405000000001</v>
      </c>
      <c r="D82" s="4">
        <v>49.826824000000002</v>
      </c>
      <c r="E82" s="4">
        <v>49.408847999999999</v>
      </c>
      <c r="F82" s="4">
        <v>49.668672000000001</v>
      </c>
      <c r="G82" s="3">
        <v>-1.58</v>
      </c>
      <c r="H82" s="3">
        <v>-1.31</v>
      </c>
      <c r="I82" s="3">
        <v>-0.37</v>
      </c>
      <c r="J82" s="3">
        <v>0</v>
      </c>
      <c r="K82" s="4">
        <v>-0.117319759980987</v>
      </c>
      <c r="L82" s="4">
        <v>6.2423005332302203E-2</v>
      </c>
      <c r="M82" s="4">
        <v>-0.101874693455229</v>
      </c>
      <c r="N82" s="4">
        <v>0.228394800130268</v>
      </c>
      <c r="O82" s="4">
        <v>-6.9608371514760403E-2</v>
      </c>
      <c r="P82" s="5">
        <f t="shared" si="5"/>
        <v>-0.117319759980987</v>
      </c>
      <c r="Q82" s="5">
        <f t="shared" si="6"/>
        <v>6.2423005332302203E-2</v>
      </c>
      <c r="R82" s="5">
        <f t="shared" si="7"/>
        <v>-0.101874693455229</v>
      </c>
      <c r="S82" s="5">
        <f t="shared" si="8"/>
        <v>0.228394800130268</v>
      </c>
      <c r="T82" s="5">
        <f t="shared" si="9"/>
        <v>-6.9608371514760403E-2</v>
      </c>
    </row>
    <row r="83" spans="1:20" x14ac:dyDescent="0.3">
      <c r="A83" s="2">
        <v>44531</v>
      </c>
      <c r="B83" s="4">
        <v>54.842820000000003</v>
      </c>
      <c r="C83" s="4">
        <v>31.024919000000001</v>
      </c>
      <c r="D83" s="4">
        <v>50.711799999999997</v>
      </c>
      <c r="E83" s="4">
        <v>50.419986000000002</v>
      </c>
      <c r="F83" s="4">
        <v>49.696810999999997</v>
      </c>
      <c r="G83" s="3">
        <v>3.23</v>
      </c>
      <c r="H83" s="3">
        <v>-1.63</v>
      </c>
      <c r="I83" s="3">
        <v>3.26</v>
      </c>
      <c r="J83" s="3">
        <v>0.01</v>
      </c>
      <c r="K83" s="4">
        <v>0.11583924041931799</v>
      </c>
      <c r="L83" s="4">
        <v>5.33877159742632E-2</v>
      </c>
      <c r="M83" s="4">
        <v>0.10778809844548901</v>
      </c>
      <c r="N83" s="4">
        <v>0.108660482208288</v>
      </c>
      <c r="O83" s="4">
        <v>-7.7555106531146806E-2</v>
      </c>
      <c r="P83" s="5">
        <f t="shared" si="5"/>
        <v>0.105839240419318</v>
      </c>
      <c r="Q83" s="5">
        <f t="shared" si="6"/>
        <v>4.3387715974263198E-2</v>
      </c>
      <c r="R83" s="5">
        <f t="shared" si="7"/>
        <v>9.7788098445489011E-2</v>
      </c>
      <c r="S83" s="5">
        <f t="shared" si="8"/>
        <v>9.8660482208288006E-2</v>
      </c>
      <c r="T83" s="5">
        <f t="shared" si="9"/>
        <v>-8.7555106531146801E-2</v>
      </c>
    </row>
    <row r="84" spans="1:20" x14ac:dyDescent="0.3">
      <c r="A84" s="2">
        <v>44562</v>
      </c>
      <c r="B84" s="4">
        <v>52.076002000000003</v>
      </c>
      <c r="C84" s="4">
        <v>31.078607999999999</v>
      </c>
      <c r="D84" s="4">
        <v>53.153855999999998</v>
      </c>
      <c r="E84" s="4">
        <v>51.767864000000003</v>
      </c>
      <c r="F84" s="4">
        <v>49.790281</v>
      </c>
      <c r="G84" s="3">
        <v>-6.16</v>
      </c>
      <c r="H84" s="3">
        <v>-5.93</v>
      </c>
      <c r="I84" s="3">
        <v>12.86</v>
      </c>
      <c r="J84" s="3">
        <v>0</v>
      </c>
      <c r="K84" s="4">
        <v>9.8870524521776897E-3</v>
      </c>
      <c r="L84" s="4">
        <v>-4.45173092864855E-2</v>
      </c>
      <c r="M84" s="4">
        <v>-0.20907319139813599</v>
      </c>
      <c r="N84" s="4">
        <v>-0.107705271406571</v>
      </c>
      <c r="O84" s="4">
        <v>-6.79144842590228E-2</v>
      </c>
      <c r="P84" s="5">
        <f t="shared" si="5"/>
        <v>9.8870524521776897E-3</v>
      </c>
      <c r="Q84" s="5">
        <f t="shared" si="6"/>
        <v>-4.45173092864855E-2</v>
      </c>
      <c r="R84" s="5">
        <f t="shared" si="7"/>
        <v>-0.20907319139813599</v>
      </c>
      <c r="S84" s="5">
        <f t="shared" si="8"/>
        <v>-0.107705271406571</v>
      </c>
      <c r="T84" s="5">
        <f t="shared" si="9"/>
        <v>-6.79144842590228E-2</v>
      </c>
    </row>
    <row r="85" spans="1:20" x14ac:dyDescent="0.3">
      <c r="A85" s="2">
        <v>44593</v>
      </c>
      <c r="B85" s="4">
        <v>52.260416999999997</v>
      </c>
      <c r="C85" s="4">
        <v>31.078607999999999</v>
      </c>
      <c r="D85" s="4">
        <v>54.152979999999999</v>
      </c>
      <c r="E85" s="4">
        <v>52.461460000000002</v>
      </c>
      <c r="F85" s="4">
        <v>49.811138999999997</v>
      </c>
      <c r="G85" s="3">
        <v>-2.2799999999999998</v>
      </c>
      <c r="H85" s="3">
        <v>2.16</v>
      </c>
      <c r="I85" s="3">
        <v>3.06</v>
      </c>
      <c r="J85" s="3">
        <v>0</v>
      </c>
      <c r="K85" s="4">
        <v>2.9603650300578498E-2</v>
      </c>
      <c r="L85" s="4">
        <v>-0.12055904208147999</v>
      </c>
      <c r="M85" s="4">
        <v>2.1641192395626702E-2</v>
      </c>
      <c r="N85" s="4">
        <v>-0.10235538570826</v>
      </c>
      <c r="O85" s="4">
        <v>6.7298396941154207E-2</v>
      </c>
      <c r="P85" s="5">
        <f t="shared" si="5"/>
        <v>2.9603650300578498E-2</v>
      </c>
      <c r="Q85" s="5">
        <f t="shared" si="6"/>
        <v>-0.12055904208147999</v>
      </c>
      <c r="R85" s="5">
        <f t="shared" si="7"/>
        <v>2.1641192395626702E-2</v>
      </c>
      <c r="S85" s="5">
        <f t="shared" si="8"/>
        <v>-0.10235538570826</v>
      </c>
      <c r="T85" s="5">
        <f t="shared" si="9"/>
        <v>6.7298396941154207E-2</v>
      </c>
    </row>
    <row r="86" spans="1:20" x14ac:dyDescent="0.3">
      <c r="A86" s="2">
        <v>44621</v>
      </c>
      <c r="B86" s="4">
        <v>52.991393000000002</v>
      </c>
      <c r="C86" s="4">
        <v>31.078607999999999</v>
      </c>
      <c r="D86" s="4">
        <v>54.300038000000001</v>
      </c>
      <c r="E86" s="4">
        <v>53.622722000000003</v>
      </c>
      <c r="F86" s="4">
        <v>49.461680000000001</v>
      </c>
      <c r="G86" s="3">
        <v>3.08</v>
      </c>
      <c r="H86" s="3">
        <v>-1.55</v>
      </c>
      <c r="I86" s="3">
        <v>-1.9</v>
      </c>
      <c r="J86" s="3">
        <v>0</v>
      </c>
      <c r="K86" s="4">
        <v>2.71683838706615E-3</v>
      </c>
      <c r="L86" s="4">
        <v>-1.5728557821074102E-2</v>
      </c>
      <c r="M86" s="4">
        <v>3.9093468220481299E-2</v>
      </c>
      <c r="N86" s="4">
        <v>0.102897296192445</v>
      </c>
      <c r="O86" s="4">
        <v>6.4226536376552597E-3</v>
      </c>
      <c r="P86" s="5">
        <f t="shared" si="5"/>
        <v>2.71683838706615E-3</v>
      </c>
      <c r="Q86" s="5">
        <f t="shared" si="6"/>
        <v>-1.5728557821074102E-2</v>
      </c>
      <c r="R86" s="5">
        <f t="shared" si="7"/>
        <v>3.9093468220481299E-2</v>
      </c>
      <c r="S86" s="5">
        <f t="shared" si="8"/>
        <v>0.102897296192445</v>
      </c>
      <c r="T86" s="5">
        <f t="shared" si="9"/>
        <v>6.4226536376552597E-3</v>
      </c>
    </row>
    <row r="87" spans="1:20" x14ac:dyDescent="0.3">
      <c r="A87" s="2">
        <v>44652</v>
      </c>
      <c r="B87" s="4">
        <v>52.397862000000003</v>
      </c>
      <c r="C87" s="4">
        <v>31.078607999999999</v>
      </c>
      <c r="D87" s="4">
        <v>55.638736000000002</v>
      </c>
      <c r="E87" s="4">
        <v>53.474103999999997</v>
      </c>
      <c r="F87" s="4">
        <v>49.332386999999997</v>
      </c>
      <c r="G87" s="3">
        <v>-9.41</v>
      </c>
      <c r="H87" s="3">
        <v>-1.35</v>
      </c>
      <c r="I87" s="3">
        <v>6.18</v>
      </c>
      <c r="J87" s="3">
        <v>0</v>
      </c>
      <c r="K87" s="4">
        <v>-4.9221048997800103E-2</v>
      </c>
      <c r="L87" s="4">
        <v>1.0872808483208299E-2</v>
      </c>
      <c r="M87" s="4">
        <v>-0.206775361769064</v>
      </c>
      <c r="N87" s="4">
        <v>-5.2153715153650998E-2</v>
      </c>
      <c r="O87" s="4">
        <v>-0.10285674255258399</v>
      </c>
      <c r="P87" s="5">
        <f t="shared" si="5"/>
        <v>-4.9221048997800103E-2</v>
      </c>
      <c r="Q87" s="5">
        <f t="shared" si="6"/>
        <v>1.0872808483208299E-2</v>
      </c>
      <c r="R87" s="5">
        <f t="shared" si="7"/>
        <v>-0.206775361769064</v>
      </c>
      <c r="S87" s="5">
        <f t="shared" si="8"/>
        <v>-5.2153715153650998E-2</v>
      </c>
      <c r="T87" s="5">
        <f t="shared" si="9"/>
        <v>-0.10285674255258399</v>
      </c>
    </row>
    <row r="88" spans="1:20" x14ac:dyDescent="0.3">
      <c r="A88" s="2">
        <v>44682</v>
      </c>
      <c r="B88" s="4">
        <v>52.801046999999997</v>
      </c>
      <c r="C88" s="4">
        <v>33.882576</v>
      </c>
      <c r="D88" s="4">
        <v>57.431407</v>
      </c>
      <c r="E88" s="4">
        <v>53.707841000000002</v>
      </c>
      <c r="F88" s="4">
        <v>49.569600999999999</v>
      </c>
      <c r="G88" s="3">
        <v>-0.34</v>
      </c>
      <c r="H88" s="3">
        <v>-1.84</v>
      </c>
      <c r="I88" s="3">
        <v>8.44</v>
      </c>
      <c r="J88" s="3">
        <v>0.03</v>
      </c>
      <c r="K88" s="4">
        <v>-2.6122115242808899E-2</v>
      </c>
      <c r="L88" s="4">
        <v>9.2854691269799394E-2</v>
      </c>
      <c r="M88" s="4">
        <v>-4.8725463908947102E-2</v>
      </c>
      <c r="N88" s="4">
        <v>8.0904838304105095E-2</v>
      </c>
      <c r="O88" s="4">
        <v>-0.10674090622737201</v>
      </c>
      <c r="P88" s="5">
        <f t="shared" si="5"/>
        <v>-5.6122115242808898E-2</v>
      </c>
      <c r="Q88" s="5">
        <f t="shared" si="6"/>
        <v>6.2854691269799395E-2</v>
      </c>
      <c r="R88" s="5">
        <f t="shared" si="7"/>
        <v>-7.8725463908947108E-2</v>
      </c>
      <c r="S88" s="5">
        <f t="shared" si="8"/>
        <v>5.0904838304105096E-2</v>
      </c>
      <c r="T88" s="5">
        <f t="shared" si="9"/>
        <v>-0.13674090622737201</v>
      </c>
    </row>
    <row r="89" spans="1:20" x14ac:dyDescent="0.3">
      <c r="A89" s="2">
        <v>44713</v>
      </c>
      <c r="B89" s="4">
        <v>53.460436999999999</v>
      </c>
      <c r="C89" s="4">
        <v>33.882576</v>
      </c>
      <c r="D89" s="4">
        <v>57.026704000000002</v>
      </c>
      <c r="E89" s="4">
        <v>53.707841000000002</v>
      </c>
      <c r="F89" s="4">
        <v>49.784993999999998</v>
      </c>
      <c r="G89" s="3">
        <v>-8.4</v>
      </c>
      <c r="H89" s="3">
        <v>2.0699999999999998</v>
      </c>
      <c r="I89" s="3">
        <v>-6</v>
      </c>
      <c r="J89" s="3">
        <v>0.06</v>
      </c>
      <c r="K89" s="4">
        <v>-9.1197220600854306E-2</v>
      </c>
      <c r="L89" s="4">
        <v>-4.6877295532555499E-2</v>
      </c>
      <c r="M89" s="4">
        <v>-0.118300794008022</v>
      </c>
      <c r="N89" s="4">
        <v>-3.4396244122549798E-3</v>
      </c>
      <c r="O89" s="4">
        <v>2.0891918695554901E-2</v>
      </c>
      <c r="P89" s="5">
        <f t="shared" si="5"/>
        <v>-0.1511972206008543</v>
      </c>
      <c r="Q89" s="5">
        <f t="shared" si="6"/>
        <v>-0.1068772955325555</v>
      </c>
      <c r="R89" s="5">
        <f t="shared" si="7"/>
        <v>-0.17830079400802201</v>
      </c>
      <c r="S89" s="5">
        <f t="shared" si="8"/>
        <v>-6.343962441225498E-2</v>
      </c>
      <c r="T89" s="5">
        <f t="shared" si="9"/>
        <v>-3.9108081304445097E-2</v>
      </c>
    </row>
    <row r="90" spans="1:20" x14ac:dyDescent="0.3">
      <c r="A90" s="2">
        <v>44743</v>
      </c>
      <c r="B90" s="4">
        <v>53.599514999999997</v>
      </c>
      <c r="C90" s="4">
        <v>33.882576</v>
      </c>
      <c r="D90" s="4">
        <v>57.286549999999998</v>
      </c>
      <c r="E90" s="4">
        <v>53.707841000000002</v>
      </c>
      <c r="F90" s="4">
        <v>49.779280999999997</v>
      </c>
      <c r="G90" s="3">
        <v>9.57</v>
      </c>
      <c r="H90" s="3">
        <v>2.84</v>
      </c>
      <c r="I90" s="3">
        <v>-4.1500000000000004</v>
      </c>
      <c r="J90" s="3">
        <v>0.08</v>
      </c>
      <c r="K90" s="4">
        <v>0.10142202127366599</v>
      </c>
      <c r="L90" s="4">
        <v>-2.12487385965556E-2</v>
      </c>
      <c r="M90" s="4">
        <v>0.14677888729821201</v>
      </c>
      <c r="N90" s="4">
        <v>-3.6620395745964499E-2</v>
      </c>
      <c r="O90" s="4">
        <v>0.13701018755553801</v>
      </c>
      <c r="P90" s="5">
        <f t="shared" si="5"/>
        <v>2.1422021273665992E-2</v>
      </c>
      <c r="Q90" s="5">
        <f t="shared" si="6"/>
        <v>-0.1012487385965556</v>
      </c>
      <c r="R90" s="5">
        <f t="shared" si="7"/>
        <v>6.6778887298212006E-2</v>
      </c>
      <c r="S90" s="5">
        <f t="shared" si="8"/>
        <v>-0.1166203957459645</v>
      </c>
      <c r="T90" s="5">
        <f t="shared" si="9"/>
        <v>5.7010187555538008E-2</v>
      </c>
    </row>
    <row r="91" spans="1:20" x14ac:dyDescent="0.3">
      <c r="A91" s="2">
        <v>44774</v>
      </c>
      <c r="B91" s="4">
        <v>55.011012999999998</v>
      </c>
      <c r="C91" s="4">
        <v>33.882576</v>
      </c>
      <c r="D91" s="4">
        <v>58.651909000000003</v>
      </c>
      <c r="E91" s="4">
        <v>53.413424999999997</v>
      </c>
      <c r="F91" s="4">
        <v>49.782015000000001</v>
      </c>
      <c r="G91" s="3">
        <v>-3.77</v>
      </c>
      <c r="H91" s="3">
        <v>1.41</v>
      </c>
      <c r="I91" s="3">
        <v>0.18</v>
      </c>
      <c r="J91" s="3">
        <v>0.19</v>
      </c>
      <c r="K91" s="4">
        <v>-1.8026744884844001E-2</v>
      </c>
      <c r="L91" s="4">
        <v>6.2259394238361097E-2</v>
      </c>
      <c r="M91" s="4">
        <v>-0.106138909806349</v>
      </c>
      <c r="N91" s="4">
        <v>-9.7585420254934496E-2</v>
      </c>
      <c r="O91" s="4">
        <v>3.09523731819458E-2</v>
      </c>
      <c r="P91" s="5">
        <f t="shared" si="5"/>
        <v>-0.20802674488484402</v>
      </c>
      <c r="Q91" s="5">
        <f t="shared" si="6"/>
        <v>-0.1277406057616389</v>
      </c>
      <c r="R91" s="5">
        <f t="shared" si="7"/>
        <v>-0.29613890980634899</v>
      </c>
      <c r="S91" s="5">
        <f t="shared" si="8"/>
        <v>-0.2875854202549345</v>
      </c>
      <c r="T91" s="5">
        <f t="shared" si="9"/>
        <v>-0.15904762681805421</v>
      </c>
    </row>
    <row r="92" spans="1:20" x14ac:dyDescent="0.3">
      <c r="A92" s="2">
        <v>44805</v>
      </c>
      <c r="B92" s="4">
        <v>55.218665999999999</v>
      </c>
      <c r="C92" s="4">
        <v>33.882576</v>
      </c>
      <c r="D92" s="4">
        <v>58.548309000000003</v>
      </c>
      <c r="E92" s="4">
        <v>53.834302000000001</v>
      </c>
      <c r="F92" s="4">
        <v>49.906619999999997</v>
      </c>
      <c r="G92" s="3">
        <v>-9.34</v>
      </c>
      <c r="H92" s="3">
        <v>-0.76</v>
      </c>
      <c r="I92" s="3">
        <v>0.03</v>
      </c>
      <c r="J92" s="3">
        <v>0.19</v>
      </c>
      <c r="K92" s="4">
        <v>-3.9196273312498003E-2</v>
      </c>
      <c r="L92" s="4">
        <v>-2.8044700125283401E-2</v>
      </c>
      <c r="M92" s="4">
        <v>-8.8947227389696099E-2</v>
      </c>
      <c r="N92" s="4">
        <v>-3.2500437909856197E-2</v>
      </c>
      <c r="O92" s="4">
        <v>-0.102047235290442</v>
      </c>
      <c r="P92" s="5">
        <f t="shared" si="5"/>
        <v>-0.22919627331249801</v>
      </c>
      <c r="Q92" s="5">
        <f t="shared" si="6"/>
        <v>-0.2180447001252834</v>
      </c>
      <c r="R92" s="5">
        <f t="shared" si="7"/>
        <v>-0.27894722738969613</v>
      </c>
      <c r="S92" s="5">
        <f t="shared" si="8"/>
        <v>-0.22250043790985619</v>
      </c>
      <c r="T92" s="5">
        <f t="shared" si="9"/>
        <v>-0.29204723529044202</v>
      </c>
    </row>
    <row r="93" spans="1:20" x14ac:dyDescent="0.3">
      <c r="A93" s="2">
        <v>44835</v>
      </c>
      <c r="B93" s="4">
        <v>55.629604999999998</v>
      </c>
      <c r="C93" s="4">
        <v>33.878909</v>
      </c>
      <c r="D93" s="4">
        <v>59.036012999999997</v>
      </c>
      <c r="E93" s="4">
        <v>53.834302000000001</v>
      </c>
      <c r="F93" s="4">
        <v>49.932057</v>
      </c>
      <c r="G93" s="3">
        <v>7.85</v>
      </c>
      <c r="H93" s="3">
        <v>0.01</v>
      </c>
      <c r="I93" s="3">
        <v>7.97</v>
      </c>
      <c r="J93" s="3">
        <v>0.23</v>
      </c>
      <c r="K93" s="4">
        <v>0.113090656335761</v>
      </c>
      <c r="L93" s="4">
        <v>0.28626677611738999</v>
      </c>
      <c r="M93" s="4">
        <v>0.31492743283413899</v>
      </c>
      <c r="N93" s="4">
        <v>6.3756911424750401E-2</v>
      </c>
      <c r="O93" s="4">
        <v>0.12820402983698601</v>
      </c>
      <c r="P93" s="5">
        <f t="shared" si="5"/>
        <v>-0.11690934366423901</v>
      </c>
      <c r="Q93" s="5">
        <f t="shared" si="6"/>
        <v>5.6266776117389977E-2</v>
      </c>
      <c r="R93" s="5">
        <f t="shared" si="7"/>
        <v>8.4927432834138977E-2</v>
      </c>
      <c r="S93" s="5">
        <f t="shared" si="8"/>
        <v>-0.16624308857524961</v>
      </c>
      <c r="T93" s="5">
        <f t="shared" si="9"/>
        <v>-0.101795970163014</v>
      </c>
    </row>
    <row r="94" spans="1:20" x14ac:dyDescent="0.3">
      <c r="A94" s="2">
        <v>44866</v>
      </c>
      <c r="B94" s="4">
        <v>56.237380000000002</v>
      </c>
      <c r="C94" s="4">
        <v>34.801817999999997</v>
      </c>
      <c r="D94" s="4">
        <v>59.718766000000002</v>
      </c>
      <c r="E94" s="4">
        <v>54.100710999999997</v>
      </c>
      <c r="F94" s="4">
        <v>49.834772000000001</v>
      </c>
      <c r="G94" s="3">
        <v>4.6500000000000004</v>
      </c>
      <c r="H94" s="3">
        <v>-3.57</v>
      </c>
      <c r="I94" s="3">
        <v>1.48</v>
      </c>
      <c r="J94" s="3">
        <v>0.28999999999999998</v>
      </c>
      <c r="K94" s="4">
        <v>5.0104379884732701E-2</v>
      </c>
      <c r="L94" s="4">
        <v>0.11942372416772901</v>
      </c>
      <c r="M94" s="4">
        <v>9.7050404955023595E-2</v>
      </c>
      <c r="N94" s="4">
        <v>7.6906470747794803E-2</v>
      </c>
      <c r="O94" s="4">
        <v>0.15671727499402699</v>
      </c>
      <c r="P94" s="5">
        <f t="shared" si="5"/>
        <v>-0.23989562011526727</v>
      </c>
      <c r="Q94" s="5">
        <f t="shared" si="6"/>
        <v>-0.17057627583227097</v>
      </c>
      <c r="R94" s="5">
        <f t="shared" si="7"/>
        <v>-0.19294959504497639</v>
      </c>
      <c r="S94" s="5">
        <f t="shared" si="8"/>
        <v>-0.21309352925220518</v>
      </c>
      <c r="T94" s="5">
        <f t="shared" si="9"/>
        <v>-0.13328272500597299</v>
      </c>
    </row>
    <row r="95" spans="1:20" x14ac:dyDescent="0.3">
      <c r="A95" s="2">
        <v>44896</v>
      </c>
      <c r="B95" s="4">
        <v>57.246792999999997</v>
      </c>
      <c r="C95" s="4">
        <v>34.801817999999997</v>
      </c>
      <c r="D95" s="4">
        <v>59.338135999999999</v>
      </c>
      <c r="E95" s="4">
        <v>54.362836999999999</v>
      </c>
      <c r="F95" s="4">
        <v>49.929188000000003</v>
      </c>
      <c r="G95" s="3">
        <v>-6.38</v>
      </c>
      <c r="H95" s="3">
        <v>-0.76</v>
      </c>
      <c r="I95" s="3">
        <v>1.34</v>
      </c>
      <c r="J95" s="3">
        <v>0.33</v>
      </c>
      <c r="K95" s="4">
        <v>2.2089683894149299E-2</v>
      </c>
      <c r="L95" s="4">
        <v>-2.2543483447141299E-2</v>
      </c>
      <c r="M95" s="4">
        <v>-1.86397731864281E-2</v>
      </c>
      <c r="N95" s="4">
        <v>3.0903017277682899E-2</v>
      </c>
      <c r="O95" s="4">
        <v>-1.6634868390202499E-2</v>
      </c>
      <c r="P95" s="5">
        <f t="shared" si="5"/>
        <v>-0.30791031610585073</v>
      </c>
      <c r="Q95" s="5">
        <f t="shared" si="6"/>
        <v>-0.35254348344714131</v>
      </c>
      <c r="R95" s="5">
        <f t="shared" si="7"/>
        <v>-0.34863977318642814</v>
      </c>
      <c r="S95" s="5">
        <f t="shared" si="8"/>
        <v>-0.29909698272231711</v>
      </c>
      <c r="T95" s="5">
        <f t="shared" si="9"/>
        <v>-0.34663486839020252</v>
      </c>
    </row>
    <row r="96" spans="1:20" x14ac:dyDescent="0.3">
      <c r="A96" s="2">
        <v>44927</v>
      </c>
      <c r="B96" s="4">
        <v>58.008234000000002</v>
      </c>
      <c r="C96" s="4">
        <v>35.530490999999998</v>
      </c>
      <c r="D96" s="4">
        <v>59.568561000000003</v>
      </c>
      <c r="E96" s="4">
        <v>54.374760999999999</v>
      </c>
      <c r="F96" s="4">
        <v>49.655310999999998</v>
      </c>
      <c r="G96" s="3">
        <v>6.61</v>
      </c>
      <c r="H96" s="3">
        <v>5.01</v>
      </c>
      <c r="I96" s="3">
        <v>-3.94</v>
      </c>
      <c r="J96" s="3">
        <v>0.35</v>
      </c>
      <c r="K96" s="4">
        <v>-4.3225540449109902E-4</v>
      </c>
      <c r="L96" s="4">
        <v>-1.41389318326724E-2</v>
      </c>
      <c r="M96" s="4">
        <v>-7.4090835537572203E-2</v>
      </c>
      <c r="N96" s="4">
        <v>-0.13817339046218299</v>
      </c>
      <c r="O96" s="4">
        <v>-2.4015785089252301E-2</v>
      </c>
      <c r="P96" s="5">
        <f t="shared" si="5"/>
        <v>-0.35043225540449108</v>
      </c>
      <c r="Q96" s="5">
        <f t="shared" si="6"/>
        <v>-0.36413893183267237</v>
      </c>
      <c r="R96" s="5">
        <f t="shared" si="7"/>
        <v>-0.42409083553757221</v>
      </c>
      <c r="S96" s="5">
        <f t="shared" si="8"/>
        <v>-0.488173390462183</v>
      </c>
      <c r="T96" s="5">
        <f t="shared" si="9"/>
        <v>-0.37401578508925226</v>
      </c>
    </row>
    <row r="97" spans="1:20" x14ac:dyDescent="0.3">
      <c r="A97" s="2">
        <v>44958</v>
      </c>
      <c r="B97" s="4">
        <v>58.697926000000002</v>
      </c>
      <c r="C97" s="4">
        <v>35.435108</v>
      </c>
      <c r="D97" s="4">
        <v>60.090159999999997</v>
      </c>
      <c r="E97" s="4">
        <v>54.374760999999999</v>
      </c>
      <c r="F97" s="4">
        <v>49.733320999999997</v>
      </c>
      <c r="G97" s="3">
        <v>-2.57</v>
      </c>
      <c r="H97" s="3">
        <v>1.05</v>
      </c>
      <c r="I97" s="3">
        <v>-0.8</v>
      </c>
      <c r="J97" s="3">
        <v>0.34</v>
      </c>
      <c r="K97" s="4">
        <v>1.0162188555743201E-2</v>
      </c>
      <c r="L97" s="4">
        <v>-4.0624219537574398E-2</v>
      </c>
      <c r="M97" s="4">
        <v>-6.6343778296982694E-2</v>
      </c>
      <c r="N97" s="4">
        <v>-7.2860992227023899E-2</v>
      </c>
      <c r="O97" s="4">
        <v>-3.8145697108689897E-2</v>
      </c>
      <c r="P97" s="5">
        <f t="shared" si="5"/>
        <v>-0.32983781144425683</v>
      </c>
      <c r="Q97" s="5">
        <f t="shared" si="6"/>
        <v>-0.38062421953757442</v>
      </c>
      <c r="R97" s="5">
        <f t="shared" si="7"/>
        <v>-0.40634377829698271</v>
      </c>
      <c r="S97" s="5">
        <f t="shared" si="8"/>
        <v>-0.41286099222702394</v>
      </c>
      <c r="T97" s="5">
        <f t="shared" si="9"/>
        <v>-0.37814569710868995</v>
      </c>
    </row>
    <row r="98" spans="1:20" x14ac:dyDescent="0.3">
      <c r="A98" s="2">
        <v>44986</v>
      </c>
      <c r="B98" s="4">
        <v>58.611545999999997</v>
      </c>
      <c r="C98" s="4">
        <v>35.850935</v>
      </c>
      <c r="D98" s="4">
        <v>59.799579999999999</v>
      </c>
      <c r="E98" s="4">
        <v>54.739896999999999</v>
      </c>
      <c r="F98" s="4">
        <v>49.753594</v>
      </c>
      <c r="G98" s="3">
        <v>2.48</v>
      </c>
      <c r="H98" s="3">
        <v>-5.48</v>
      </c>
      <c r="I98" s="3">
        <v>-9.0500000000000007</v>
      </c>
      <c r="J98" s="3">
        <v>0.36</v>
      </c>
      <c r="K98" s="4">
        <v>7.0847548632489696E-2</v>
      </c>
      <c r="L98" s="4">
        <v>3.0299211026161E-2</v>
      </c>
      <c r="M98" s="4">
        <v>0.113692845810398</v>
      </c>
      <c r="N98" s="4">
        <v>5.66927012764351E-3</v>
      </c>
      <c r="O98" s="4">
        <v>0.154146795344931</v>
      </c>
      <c r="P98" s="5">
        <f t="shared" si="5"/>
        <v>-0.28915245136751028</v>
      </c>
      <c r="Q98" s="5">
        <f t="shared" si="6"/>
        <v>-0.32970078897383898</v>
      </c>
      <c r="R98" s="5">
        <f t="shared" si="7"/>
        <v>-0.24630715418960197</v>
      </c>
      <c r="S98" s="5">
        <f t="shared" si="8"/>
        <v>-0.35433072987235648</v>
      </c>
      <c r="T98" s="5">
        <f t="shared" si="9"/>
        <v>-0.20585320465506898</v>
      </c>
    </row>
    <row r="99" spans="1:20" x14ac:dyDescent="0.3">
      <c r="A99" s="2">
        <v>45017</v>
      </c>
      <c r="B99" s="4">
        <v>59.107543</v>
      </c>
      <c r="C99" s="4">
        <v>35.850935</v>
      </c>
      <c r="D99" s="4">
        <v>60.284897000000001</v>
      </c>
      <c r="E99" s="4">
        <v>54.739896999999999</v>
      </c>
      <c r="F99" s="4">
        <v>49.727578000000001</v>
      </c>
      <c r="G99" s="3">
        <v>0.62</v>
      </c>
      <c r="H99" s="3">
        <v>-3.37</v>
      </c>
      <c r="I99" s="3">
        <v>-0.12</v>
      </c>
      <c r="J99" s="3">
        <v>0.35</v>
      </c>
      <c r="K99" s="4">
        <v>4.1774939108188899E-2</v>
      </c>
      <c r="L99" s="4">
        <v>2.7529175420104498E-4</v>
      </c>
      <c r="M99" s="4">
        <v>0.17908169171094199</v>
      </c>
      <c r="N99" s="4">
        <v>-4.68139203066468E-2</v>
      </c>
      <c r="O99" s="4">
        <v>-2.8843207135770201E-3</v>
      </c>
      <c r="P99" s="5">
        <f t="shared" si="5"/>
        <v>-0.30822506089181106</v>
      </c>
      <c r="Q99" s="5">
        <f t="shared" si="6"/>
        <v>-0.34972470824579893</v>
      </c>
      <c r="R99" s="5">
        <f t="shared" si="7"/>
        <v>-0.17091830828905799</v>
      </c>
      <c r="S99" s="5">
        <f t="shared" si="8"/>
        <v>-0.39681392030664675</v>
      </c>
      <c r="T99" s="5">
        <f t="shared" si="9"/>
        <v>-0.352884320713577</v>
      </c>
    </row>
    <row r="100" spans="1:20" x14ac:dyDescent="0.3">
      <c r="A100" s="2">
        <v>45047</v>
      </c>
      <c r="B100" s="4">
        <v>57.914256000000002</v>
      </c>
      <c r="C100" s="4">
        <v>36.209353</v>
      </c>
      <c r="D100" s="4">
        <v>60.217134999999999</v>
      </c>
      <c r="E100" s="4">
        <v>55.443337999999997</v>
      </c>
      <c r="F100" s="4">
        <v>50.174847999999997</v>
      </c>
      <c r="G100" s="3">
        <v>0.34</v>
      </c>
      <c r="H100" s="3">
        <v>1.6</v>
      </c>
      <c r="I100" s="3">
        <v>-7.79</v>
      </c>
      <c r="J100" s="3">
        <v>0.36</v>
      </c>
      <c r="K100" s="4">
        <v>-1.22793438749845E-2</v>
      </c>
      <c r="L100" s="4">
        <v>-6.4104208983209995E-2</v>
      </c>
      <c r="M100" s="4">
        <v>2.1977276045281598E-2</v>
      </c>
      <c r="N100" s="4">
        <v>-2.23705783151181E-2</v>
      </c>
      <c r="O100" s="4">
        <v>-0.13768710655388</v>
      </c>
      <c r="P100" s="5">
        <f t="shared" si="5"/>
        <v>-0.37227934387498451</v>
      </c>
      <c r="Q100" s="5">
        <f t="shared" si="6"/>
        <v>-0.42410420898321</v>
      </c>
      <c r="R100" s="5">
        <f t="shared" si="7"/>
        <v>-0.33802272395471838</v>
      </c>
      <c r="S100" s="5">
        <f t="shared" si="8"/>
        <v>-0.38237057831511811</v>
      </c>
      <c r="T100" s="5">
        <f t="shared" si="9"/>
        <v>-0.49768710655387999</v>
      </c>
    </row>
    <row r="101" spans="1:20" x14ac:dyDescent="0.3">
      <c r="A101" s="2">
        <v>45078</v>
      </c>
      <c r="B101" s="4">
        <v>58.401468999999999</v>
      </c>
      <c r="C101" s="4">
        <v>36.209353</v>
      </c>
      <c r="D101" s="4">
        <v>60.067635000000003</v>
      </c>
      <c r="E101" s="4">
        <v>55.622723000000001</v>
      </c>
      <c r="F101" s="4">
        <v>50.126902000000001</v>
      </c>
      <c r="G101" s="3">
        <v>6.46</v>
      </c>
      <c r="H101" s="3">
        <v>1.49</v>
      </c>
      <c r="I101" s="3">
        <v>-0.13</v>
      </c>
      <c r="J101" s="3">
        <v>0.4</v>
      </c>
      <c r="K101" s="4">
        <v>5.0699313006213401E-2</v>
      </c>
      <c r="L101" s="4">
        <v>1.6897619694056199E-3</v>
      </c>
      <c r="M101" s="4">
        <v>0.110771850666496</v>
      </c>
      <c r="N101" s="4">
        <v>-2.48052540950792E-2</v>
      </c>
      <c r="O101" s="4">
        <v>5.1376467959491599E-2</v>
      </c>
      <c r="P101" s="5">
        <f t="shared" si="5"/>
        <v>-0.34930068699378664</v>
      </c>
      <c r="Q101" s="5">
        <f t="shared" si="6"/>
        <v>-0.3983102380305944</v>
      </c>
      <c r="R101" s="5">
        <f t="shared" si="7"/>
        <v>-0.28922814933350405</v>
      </c>
      <c r="S101" s="5">
        <f t="shared" si="8"/>
        <v>-0.42480525409507924</v>
      </c>
      <c r="T101" s="5">
        <f t="shared" si="9"/>
        <v>-0.34862353204050844</v>
      </c>
    </row>
    <row r="102" spans="1:20" x14ac:dyDescent="0.3">
      <c r="A102" s="2">
        <v>45108</v>
      </c>
      <c r="B102" s="4">
        <v>58.341132999999999</v>
      </c>
      <c r="C102" s="4">
        <v>36.281114000000002</v>
      </c>
      <c r="D102" s="4">
        <v>59.937531</v>
      </c>
      <c r="E102" s="4">
        <v>55.824688999999999</v>
      </c>
      <c r="F102" s="4">
        <v>50.481352999999999</v>
      </c>
      <c r="G102" s="3">
        <v>3.21</v>
      </c>
      <c r="H102" s="3">
        <v>2.0499999999999998</v>
      </c>
      <c r="I102" s="3">
        <v>4.0599999999999996</v>
      </c>
      <c r="J102" s="3">
        <v>0.45</v>
      </c>
      <c r="K102" s="4">
        <v>-4.1412491627800897E-2</v>
      </c>
      <c r="L102" s="4">
        <v>-2.5309010009698599E-3</v>
      </c>
      <c r="M102" s="4">
        <v>-5.12955735500044E-2</v>
      </c>
      <c r="N102" s="4">
        <v>-1.6902876991971998E-2</v>
      </c>
      <c r="O102" s="4">
        <v>-4.0195590223664E-2</v>
      </c>
      <c r="P102" s="5">
        <f t="shared" si="5"/>
        <v>-0.49141249162780093</v>
      </c>
      <c r="Q102" s="5">
        <f t="shared" si="6"/>
        <v>-0.45253090100096988</v>
      </c>
      <c r="R102" s="5">
        <f t="shared" si="7"/>
        <v>-0.50129557355000443</v>
      </c>
      <c r="S102" s="5">
        <f t="shared" si="8"/>
        <v>-0.46690287699197203</v>
      </c>
      <c r="T102" s="5">
        <f t="shared" si="9"/>
        <v>-0.49019559022366399</v>
      </c>
    </row>
    <row r="103" spans="1:20" x14ac:dyDescent="0.3">
      <c r="A103" s="2">
        <v>45139</v>
      </c>
      <c r="B103" s="4">
        <v>58.627177000000003</v>
      </c>
      <c r="C103" s="4">
        <v>36.670228999999999</v>
      </c>
      <c r="D103" s="4">
        <v>59.521861999999999</v>
      </c>
      <c r="E103" s="4">
        <v>55.824688999999999</v>
      </c>
      <c r="F103" s="4">
        <v>50.494562000000002</v>
      </c>
      <c r="G103" s="3">
        <v>-2.36</v>
      </c>
      <c r="H103" s="3">
        <v>-3.15</v>
      </c>
      <c r="I103" s="3">
        <v>-1.1499999999999999</v>
      </c>
      <c r="J103" s="3">
        <v>0.45</v>
      </c>
      <c r="K103" s="4">
        <v>4.0308586578474602E-2</v>
      </c>
      <c r="L103" s="4">
        <v>4.4655723900588404E-3</v>
      </c>
      <c r="M103" s="4">
        <v>-3.6128241187461101E-2</v>
      </c>
      <c r="N103" s="4">
        <v>-7.9263711271285696E-3</v>
      </c>
      <c r="O103" s="4">
        <v>-0.30728091521637801</v>
      </c>
      <c r="P103" s="5">
        <f t="shared" si="5"/>
        <v>-0.40969141342152543</v>
      </c>
      <c r="Q103" s="5">
        <f t="shared" si="6"/>
        <v>-0.44553442760994116</v>
      </c>
      <c r="R103" s="5">
        <f t="shared" si="7"/>
        <v>-0.48612824118746112</v>
      </c>
      <c r="S103" s="5">
        <f t="shared" si="8"/>
        <v>-0.45792637112712858</v>
      </c>
      <c r="T103" s="5">
        <f t="shared" si="9"/>
        <v>-0.75728091521637797</v>
      </c>
    </row>
    <row r="104" spans="1:20" x14ac:dyDescent="0.3">
      <c r="A104" s="2">
        <v>45170</v>
      </c>
      <c r="B104" s="4">
        <v>58.672038999999998</v>
      </c>
      <c r="C104" s="4">
        <v>36.111369000000003</v>
      </c>
      <c r="D104" s="4">
        <v>60.595357</v>
      </c>
      <c r="E104" s="4">
        <v>56.043425999999997</v>
      </c>
      <c r="F104" s="4">
        <v>50.526868999999998</v>
      </c>
      <c r="G104" s="3">
        <v>-5.23</v>
      </c>
      <c r="H104" s="3">
        <v>-2.5099999999999998</v>
      </c>
      <c r="I104" s="3">
        <v>1.49</v>
      </c>
      <c r="J104" s="3">
        <v>0.43</v>
      </c>
      <c r="K104" s="4">
        <v>-2.1134583216024599E-2</v>
      </c>
      <c r="L104" s="4">
        <v>-2.0136100288191301E-2</v>
      </c>
      <c r="M104" s="4">
        <v>-6.5210389562730398E-2</v>
      </c>
      <c r="N104" s="4">
        <v>-6.24646960752877E-2</v>
      </c>
      <c r="O104" s="4">
        <v>-0.16806635069807499</v>
      </c>
      <c r="P104" s="5">
        <f t="shared" si="5"/>
        <v>-0.45113458321602462</v>
      </c>
      <c r="Q104" s="5">
        <f t="shared" si="6"/>
        <v>-0.45013610028819129</v>
      </c>
      <c r="R104" s="5">
        <f t="shared" si="7"/>
        <v>-0.49521038956273039</v>
      </c>
      <c r="S104" s="5">
        <f t="shared" si="8"/>
        <v>-0.4924646960752877</v>
      </c>
      <c r="T104" s="5">
        <f t="shared" si="9"/>
        <v>-0.59806635069807501</v>
      </c>
    </row>
    <row r="105" spans="1:20" x14ac:dyDescent="0.3">
      <c r="A105" s="2">
        <v>45200</v>
      </c>
      <c r="B105" s="4">
        <v>58.927045999999997</v>
      </c>
      <c r="C105" s="4">
        <v>35.918861</v>
      </c>
      <c r="D105" s="4">
        <v>60.613863000000002</v>
      </c>
      <c r="E105" s="4">
        <v>56.036163000000002</v>
      </c>
      <c r="F105" s="4">
        <v>50.163432999999998</v>
      </c>
      <c r="G105" s="3">
        <v>-3.15</v>
      </c>
      <c r="H105" s="3">
        <v>-3.87</v>
      </c>
      <c r="I105" s="3">
        <v>0.2</v>
      </c>
      <c r="J105" s="3">
        <v>0.47</v>
      </c>
      <c r="K105" s="4">
        <v>-3.0492436242716799E-2</v>
      </c>
      <c r="L105" s="4">
        <v>5.8305349697045997E-2</v>
      </c>
      <c r="M105" s="4">
        <v>-0.102877301464779</v>
      </c>
      <c r="N105" s="4">
        <v>-7.8685485348513204E-2</v>
      </c>
      <c r="O105" s="4">
        <v>-0.16878799449348</v>
      </c>
      <c r="P105" s="5">
        <f t="shared" si="5"/>
        <v>-0.50049243624271678</v>
      </c>
      <c r="Q105" s="5">
        <f t="shared" si="6"/>
        <v>-0.41169465030295399</v>
      </c>
      <c r="R105" s="5">
        <f t="shared" si="7"/>
        <v>-0.572877301464779</v>
      </c>
      <c r="S105" s="5">
        <f t="shared" si="8"/>
        <v>-0.54868548534851314</v>
      </c>
      <c r="T105" s="5">
        <f t="shared" si="9"/>
        <v>-0.63878799449348</v>
      </c>
    </row>
    <row r="106" spans="1:20" x14ac:dyDescent="0.3">
      <c r="A106" s="2">
        <v>45231</v>
      </c>
      <c r="B106" s="4">
        <v>59.237237</v>
      </c>
      <c r="C106" s="4">
        <v>35.902496999999997</v>
      </c>
      <c r="D106" s="4">
        <v>61.963295000000002</v>
      </c>
      <c r="E106" s="4">
        <v>56.036163000000002</v>
      </c>
      <c r="F106" s="4">
        <v>49.712088999999999</v>
      </c>
      <c r="G106" s="3">
        <v>8.8800000000000008</v>
      </c>
      <c r="H106" s="3">
        <v>-0.09</v>
      </c>
      <c r="I106" s="3">
        <v>1.67</v>
      </c>
      <c r="J106" s="3">
        <v>0.44</v>
      </c>
      <c r="K106" s="4">
        <v>9.1814824946823997E-2</v>
      </c>
      <c r="L106" s="4">
        <v>-2.47009857954382E-2</v>
      </c>
      <c r="M106" s="4">
        <v>0.18541680608210101</v>
      </c>
      <c r="N106" s="4">
        <v>-2.94512387862999E-3</v>
      </c>
      <c r="O106" s="4">
        <v>0.42634069465987301</v>
      </c>
      <c r="P106" s="5">
        <f t="shared" si="5"/>
        <v>-0.34818517505317603</v>
      </c>
      <c r="Q106" s="5">
        <f t="shared" si="6"/>
        <v>-0.46470098579543823</v>
      </c>
      <c r="R106" s="5">
        <f t="shared" si="7"/>
        <v>-0.25458319391789896</v>
      </c>
      <c r="S106" s="5">
        <f t="shared" si="8"/>
        <v>-0.44294512387863</v>
      </c>
      <c r="T106" s="5">
        <f t="shared" si="9"/>
        <v>-1.3659305340126993E-2</v>
      </c>
    </row>
    <row r="107" spans="1:20" x14ac:dyDescent="0.3">
      <c r="A107" s="2">
        <v>45261</v>
      </c>
      <c r="B107" s="4">
        <v>59.409390999999999</v>
      </c>
      <c r="C107" s="4">
        <v>35.823359000000004</v>
      </c>
      <c r="D107" s="4">
        <v>61.526978999999997</v>
      </c>
      <c r="E107" s="4">
        <v>56.256312999999999</v>
      </c>
      <c r="F107" s="4">
        <v>49.556043000000003</v>
      </c>
      <c r="G107" s="3">
        <v>4.8499999999999996</v>
      </c>
      <c r="H107" s="3">
        <v>6.31</v>
      </c>
      <c r="I107" s="3">
        <v>4.8899999999999997</v>
      </c>
      <c r="J107" s="3">
        <v>0.43</v>
      </c>
      <c r="K107" s="4">
        <v>3.4353229640546198E-2</v>
      </c>
      <c r="L107" s="4">
        <v>5.7571857101831103E-2</v>
      </c>
      <c r="M107" s="4">
        <v>8.5317170654074903E-2</v>
      </c>
      <c r="N107" s="4">
        <v>-4.2397154912254903E-2</v>
      </c>
      <c r="O107" s="4">
        <v>0.14749590105132199</v>
      </c>
      <c r="P107" s="5">
        <f t="shared" si="5"/>
        <v>-0.39564677035945378</v>
      </c>
      <c r="Q107" s="5">
        <f t="shared" si="6"/>
        <v>-0.37242814289816889</v>
      </c>
      <c r="R107" s="5">
        <f t="shared" si="7"/>
        <v>-0.34468282934592509</v>
      </c>
      <c r="S107" s="5">
        <f t="shared" si="8"/>
        <v>-0.47239715491225487</v>
      </c>
      <c r="T107" s="5">
        <f t="shared" si="9"/>
        <v>-0.28250409894867801</v>
      </c>
    </row>
    <row r="108" spans="1:20" x14ac:dyDescent="0.3">
      <c r="A108" s="2">
        <v>45292</v>
      </c>
      <c r="B108" s="4">
        <v>58.089633999999997</v>
      </c>
      <c r="C108" s="4">
        <v>35.984766</v>
      </c>
      <c r="D108" s="4">
        <v>61.744894000000002</v>
      </c>
      <c r="E108" s="4">
        <v>56.734994</v>
      </c>
      <c r="F108" s="4">
        <v>49.248643000000001</v>
      </c>
      <c r="G108" s="3">
        <v>0.73</v>
      </c>
      <c r="H108" s="3">
        <v>-5.0599999999999996</v>
      </c>
      <c r="I108" s="3">
        <v>-2.38</v>
      </c>
      <c r="J108" s="3">
        <v>0.47</v>
      </c>
      <c r="K108" s="4">
        <v>9.4274291969834695E-2</v>
      </c>
      <c r="L108" s="4">
        <v>-2.5146911042913001E-2</v>
      </c>
      <c r="M108" s="4">
        <v>0.12111696005251001</v>
      </c>
      <c r="N108" s="4">
        <v>-5.9395548884082203E-2</v>
      </c>
      <c r="O108" s="4">
        <v>-0.120333676488489</v>
      </c>
      <c r="P108" s="5">
        <f t="shared" si="5"/>
        <v>-0.37572570803016525</v>
      </c>
      <c r="Q108" s="5">
        <f t="shared" si="6"/>
        <v>-0.49514691104291297</v>
      </c>
      <c r="R108" s="5">
        <f t="shared" si="7"/>
        <v>-0.34888303994748998</v>
      </c>
      <c r="S108" s="5">
        <f t="shared" si="8"/>
        <v>-0.52939554888408213</v>
      </c>
      <c r="T108" s="5">
        <f t="shared" si="9"/>
        <v>-0.590333676488489</v>
      </c>
    </row>
    <row r="109" spans="1:20" x14ac:dyDescent="0.3">
      <c r="A109" s="2">
        <v>45323</v>
      </c>
      <c r="B109" s="4">
        <v>58.520687000000002</v>
      </c>
      <c r="C109" s="4">
        <v>36.295403999999998</v>
      </c>
      <c r="D109" s="4">
        <v>61.054889000000003</v>
      </c>
      <c r="E109" s="4">
        <v>54.727106999999997</v>
      </c>
      <c r="F109" s="4">
        <v>49.314993000000001</v>
      </c>
      <c r="G109" s="3">
        <v>5.07</v>
      </c>
      <c r="H109" s="3">
        <v>-0.23</v>
      </c>
      <c r="I109" s="3">
        <v>-3.43</v>
      </c>
      <c r="J109" s="3">
        <v>0.42</v>
      </c>
      <c r="K109" s="4">
        <v>4.6632956705838099E-2</v>
      </c>
      <c r="L109" s="4">
        <v>-7.8711993366226196E-2</v>
      </c>
      <c r="M109" s="4">
        <v>1.95124659166452E-2</v>
      </c>
      <c r="N109" s="4">
        <v>-4.4429916210683099E-3</v>
      </c>
      <c r="O109" s="4">
        <v>-0.14077642272003099</v>
      </c>
      <c r="P109" s="5">
        <f t="shared" si="5"/>
        <v>-0.37336704329416187</v>
      </c>
      <c r="Q109" s="5">
        <f t="shared" si="6"/>
        <v>-0.49871199336622618</v>
      </c>
      <c r="R109" s="5">
        <f t="shared" si="7"/>
        <v>-0.4004875340833548</v>
      </c>
      <c r="S109" s="5">
        <f t="shared" si="8"/>
        <v>-0.4244429916210683</v>
      </c>
      <c r="T109" s="5">
        <f t="shared" si="9"/>
        <v>-0.56077642272003092</v>
      </c>
    </row>
    <row r="110" spans="1:20" x14ac:dyDescent="0.3">
      <c r="A110" s="2">
        <v>45352</v>
      </c>
      <c r="B110" s="4">
        <v>58.767552000000002</v>
      </c>
      <c r="C110" s="4">
        <v>37.721200000000003</v>
      </c>
      <c r="D110" s="4">
        <v>59.668971999999997</v>
      </c>
      <c r="E110" s="4">
        <v>56.668838000000001</v>
      </c>
      <c r="F110" s="4">
        <v>49.441195</v>
      </c>
      <c r="G110" s="3">
        <v>2.84</v>
      </c>
      <c r="H110" s="3">
        <v>-2.5</v>
      </c>
      <c r="I110" s="3">
        <v>4.16</v>
      </c>
      <c r="J110" s="3">
        <v>0.43</v>
      </c>
      <c r="K110" s="4">
        <v>3.4435867857179399E-2</v>
      </c>
      <c r="L110" s="4">
        <v>1.5950000815218399E-2</v>
      </c>
      <c r="M110" s="4">
        <v>3.4984413954479002E-2</v>
      </c>
      <c r="N110" s="4">
        <v>4.4804269748590399E-2</v>
      </c>
      <c r="O110" s="4">
        <v>4.5121914002953498E-2</v>
      </c>
      <c r="P110" s="5">
        <f t="shared" si="5"/>
        <v>-0.3955641321428206</v>
      </c>
      <c r="Q110" s="5">
        <f t="shared" si="6"/>
        <v>-0.41404999918478158</v>
      </c>
      <c r="R110" s="5">
        <f t="shared" si="7"/>
        <v>-0.39501558604552101</v>
      </c>
      <c r="S110" s="5">
        <f t="shared" si="8"/>
        <v>-0.38519573025140957</v>
      </c>
      <c r="T110" s="5">
        <f t="shared" si="9"/>
        <v>-0.38487808599704648</v>
      </c>
    </row>
    <row r="111" spans="1:20" x14ac:dyDescent="0.3">
      <c r="A111" s="2">
        <v>45383</v>
      </c>
      <c r="B111" s="4">
        <v>59.992162999999998</v>
      </c>
      <c r="C111" s="4">
        <v>37.721200000000003</v>
      </c>
      <c r="D111" s="4">
        <v>56.303106</v>
      </c>
      <c r="E111" s="4">
        <v>57.596545999999996</v>
      </c>
      <c r="F111" s="4">
        <v>49.550483999999997</v>
      </c>
      <c r="G111" s="3">
        <v>-4.66</v>
      </c>
      <c r="H111" s="3">
        <v>-2.37</v>
      </c>
      <c r="I111" s="3">
        <v>-0.45</v>
      </c>
      <c r="J111" s="3">
        <v>0.47</v>
      </c>
      <c r="K111" s="4">
        <v>4.9350342944024003E-2</v>
      </c>
      <c r="L111" s="4">
        <v>-0.1007799631258</v>
      </c>
      <c r="M111" s="4">
        <v>-7.1337296053391702E-2</v>
      </c>
      <c r="N111" s="4">
        <v>-7.67567208671118E-2</v>
      </c>
      <c r="O111" s="4">
        <v>3.1505750533924399E-3</v>
      </c>
      <c r="P111" s="5">
        <f t="shared" si="5"/>
        <v>-0.42064965705597596</v>
      </c>
      <c r="Q111" s="5">
        <f t="shared" si="6"/>
        <v>-0.57077996312579993</v>
      </c>
      <c r="R111" s="5">
        <f t="shared" si="7"/>
        <v>-0.54133729605339165</v>
      </c>
      <c r="S111" s="5">
        <f t="shared" si="8"/>
        <v>-0.5467567208671118</v>
      </c>
      <c r="T111" s="5">
        <f t="shared" si="9"/>
        <v>-0.46684942494660753</v>
      </c>
    </row>
    <row r="112" spans="1:20" x14ac:dyDescent="0.3">
      <c r="A112" s="2">
        <v>45413</v>
      </c>
      <c r="B112" s="4">
        <v>59.996681000000002</v>
      </c>
      <c r="C112" s="4">
        <v>37.721200000000003</v>
      </c>
      <c r="D112" s="4">
        <v>56.934137999999997</v>
      </c>
      <c r="E112" s="4">
        <v>58.153041000000002</v>
      </c>
      <c r="F112" s="4">
        <v>49.450932000000002</v>
      </c>
      <c r="G112" s="3">
        <v>4.32</v>
      </c>
      <c r="H112" s="3">
        <v>0.55000000000000004</v>
      </c>
      <c r="I112" s="3">
        <v>-1.31</v>
      </c>
      <c r="J112" s="3">
        <v>0.44</v>
      </c>
      <c r="K112" s="4">
        <v>5.1481797785490599E-2</v>
      </c>
      <c r="L112" s="4">
        <v>-1.4263776671356899E-2</v>
      </c>
      <c r="M112" s="4">
        <v>8.4992716029905296E-2</v>
      </c>
      <c r="N112" s="4">
        <v>0.118657153347369</v>
      </c>
      <c r="O112" s="4">
        <v>3.0533906743365799E-2</v>
      </c>
      <c r="P112" s="5">
        <f t="shared" si="5"/>
        <v>-0.38851820221450939</v>
      </c>
      <c r="Q112" s="5">
        <f t="shared" si="6"/>
        <v>-0.45426377667135692</v>
      </c>
      <c r="R112" s="5">
        <f t="shared" si="7"/>
        <v>-0.35500728397009473</v>
      </c>
      <c r="S112" s="5">
        <f t="shared" si="8"/>
        <v>-0.32134284665263102</v>
      </c>
      <c r="T112" s="5">
        <f t="shared" si="9"/>
        <v>-0.40946609325663419</v>
      </c>
    </row>
    <row r="113" spans="1:20" x14ac:dyDescent="0.3">
      <c r="A113" s="2">
        <v>45444</v>
      </c>
      <c r="B113" s="4">
        <v>62.136290000000002</v>
      </c>
      <c r="C113" s="4">
        <v>37.721200000000003</v>
      </c>
      <c r="D113" s="4">
        <v>56.782530000000001</v>
      </c>
      <c r="E113" s="4">
        <v>58.538778999999998</v>
      </c>
      <c r="F113" s="4">
        <v>48.609881999999999</v>
      </c>
      <c r="G113" s="3">
        <v>2.79</v>
      </c>
      <c r="H113" s="3">
        <v>-3</v>
      </c>
      <c r="I113" s="3">
        <v>-3.36</v>
      </c>
      <c r="J113" s="3">
        <v>0.41</v>
      </c>
      <c r="K113" s="4">
        <v>1.9055213010737499E-2</v>
      </c>
      <c r="L113" s="4">
        <v>6.7527672890712806E-2</v>
      </c>
      <c r="M113" s="4">
        <v>0.106261841005632</v>
      </c>
      <c r="N113" s="4">
        <v>-9.0034458771275291E-3</v>
      </c>
      <c r="O113" s="4">
        <v>0.13889045810296</v>
      </c>
      <c r="P113" s="5">
        <f t="shared" si="5"/>
        <v>-0.39094478698926249</v>
      </c>
      <c r="Q113" s="5">
        <f t="shared" si="6"/>
        <v>-0.34247232710928716</v>
      </c>
      <c r="R113" s="5">
        <f t="shared" si="7"/>
        <v>-0.30373815899436796</v>
      </c>
      <c r="S113" s="5">
        <f t="shared" si="8"/>
        <v>-0.41900344587712751</v>
      </c>
      <c r="T113" s="5">
        <f t="shared" si="9"/>
        <v>-0.27110954189703995</v>
      </c>
    </row>
    <row r="114" spans="1:20" x14ac:dyDescent="0.3">
      <c r="A114" s="2">
        <v>45474</v>
      </c>
      <c r="B114" s="4">
        <v>63.564234999999996</v>
      </c>
      <c r="C114" s="4">
        <v>37.721200000000003</v>
      </c>
      <c r="D114" s="4">
        <v>56.854832999999999</v>
      </c>
      <c r="E114" s="4">
        <v>58.497134000000003</v>
      </c>
      <c r="F114" s="4">
        <v>48.892367999999998</v>
      </c>
      <c r="G114" s="3">
        <v>1.22</v>
      </c>
      <c r="H114" s="3">
        <v>6.81</v>
      </c>
      <c r="I114" s="3">
        <v>5.62</v>
      </c>
      <c r="J114" s="3">
        <v>0.45</v>
      </c>
      <c r="K114" s="4">
        <v>-4.06441344758766E-2</v>
      </c>
      <c r="L114" s="4">
        <v>0.122179274831865</v>
      </c>
      <c r="M114" s="4">
        <v>-5.3955434114860701E-4</v>
      </c>
      <c r="N114" s="4">
        <v>9.1494034126611001E-2</v>
      </c>
      <c r="O114" s="4">
        <v>-3.6917724655987298E-2</v>
      </c>
      <c r="P114" s="5">
        <f t="shared" si="5"/>
        <v>-0.49064413447587663</v>
      </c>
      <c r="Q114" s="5">
        <f t="shared" si="6"/>
        <v>-0.32782072516813499</v>
      </c>
      <c r="R114" s="5">
        <f t="shared" si="7"/>
        <v>-0.45053955434114862</v>
      </c>
      <c r="S114" s="5">
        <f t="shared" si="8"/>
        <v>-0.35850596587338901</v>
      </c>
      <c r="T114" s="5">
        <f t="shared" si="9"/>
        <v>-0.48691772465598732</v>
      </c>
    </row>
    <row r="115" spans="1:20" x14ac:dyDescent="0.3">
      <c r="A115" s="2">
        <v>45505</v>
      </c>
      <c r="B115" s="4">
        <v>62.937804</v>
      </c>
      <c r="C115" s="4">
        <v>37.881082999999997</v>
      </c>
      <c r="D115" s="4">
        <v>54.785713999999999</v>
      </c>
      <c r="E115" s="4">
        <v>58.497134000000003</v>
      </c>
      <c r="F115" s="4">
        <v>49.121966</v>
      </c>
      <c r="G115" s="3">
        <v>1.6</v>
      </c>
      <c r="H115" s="3">
        <v>-3.48</v>
      </c>
      <c r="I115" s="3">
        <v>-1.1000000000000001</v>
      </c>
      <c r="J115" s="3">
        <v>0.48</v>
      </c>
      <c r="K115" s="4">
        <v>0.107065565189141</v>
      </c>
      <c r="L115" s="4">
        <v>3.8653833598846797E-2</v>
      </c>
      <c r="M115" s="4">
        <v>0.108004815711189</v>
      </c>
      <c r="N115" s="4">
        <v>-3.66923702731893E-2</v>
      </c>
      <c r="O115" s="4">
        <v>4.3323889398082203E-2</v>
      </c>
      <c r="P115" s="5">
        <f t="shared" si="5"/>
        <v>-0.37293443481085897</v>
      </c>
      <c r="Q115" s="5">
        <f t="shared" si="6"/>
        <v>-0.44134616640115321</v>
      </c>
      <c r="R115" s="5">
        <f t="shared" si="7"/>
        <v>-0.37199518428881095</v>
      </c>
      <c r="S115" s="5">
        <f t="shared" si="8"/>
        <v>-0.51669237027318926</v>
      </c>
      <c r="T115" s="5">
        <f t="shared" si="9"/>
        <v>-0.4366761106019178</v>
      </c>
    </row>
    <row r="116" spans="1:20" x14ac:dyDescent="0.3">
      <c r="A116" s="2">
        <v>45536</v>
      </c>
      <c r="B116" s="4">
        <v>62.040633999999997</v>
      </c>
      <c r="C116" s="4">
        <v>38.042448999999998</v>
      </c>
      <c r="D116" s="4">
        <v>55.464539000000002</v>
      </c>
      <c r="E116" s="4">
        <v>59.252124000000002</v>
      </c>
      <c r="F116" s="4">
        <v>49.869644999999998</v>
      </c>
      <c r="G116" s="3">
        <v>1.72</v>
      </c>
      <c r="H116" s="3">
        <v>-0.13</v>
      </c>
      <c r="I116" s="3">
        <v>-2.77</v>
      </c>
      <c r="J116" s="3">
        <v>0.4</v>
      </c>
      <c r="K116" s="4">
        <v>2.4575157277555201E-2</v>
      </c>
      <c r="L116" s="4">
        <v>6.1265744898810703E-2</v>
      </c>
      <c r="M116" s="4">
        <v>-2.7607247947963802E-3</v>
      </c>
      <c r="N116" s="4">
        <v>-2.4130592801105901E-3</v>
      </c>
      <c r="O116" s="4">
        <v>0.14785222220173699</v>
      </c>
      <c r="P116" s="5">
        <f t="shared" si="5"/>
        <v>-0.37542484272244481</v>
      </c>
      <c r="Q116" s="5">
        <f t="shared" si="6"/>
        <v>-0.33873425510118932</v>
      </c>
      <c r="R116" s="5">
        <f t="shared" si="7"/>
        <v>-0.40276072479479641</v>
      </c>
      <c r="S116" s="5">
        <f t="shared" si="8"/>
        <v>-0.40241305928011062</v>
      </c>
      <c r="T116" s="5">
        <f t="shared" si="9"/>
        <v>-0.25214777779826303</v>
      </c>
    </row>
    <row r="117" spans="1:20" x14ac:dyDescent="0.3">
      <c r="A117" s="2">
        <v>45566</v>
      </c>
      <c r="B117" s="4">
        <v>62.839207999999999</v>
      </c>
      <c r="C117" s="4">
        <v>38.042448999999998</v>
      </c>
      <c r="D117" s="4">
        <v>54.750241000000003</v>
      </c>
      <c r="E117" s="4">
        <v>58.208407000000001</v>
      </c>
      <c r="F117" s="4">
        <v>50.284353000000003</v>
      </c>
      <c r="G117" s="3">
        <v>-1</v>
      </c>
      <c r="H117" s="3">
        <v>-0.99</v>
      </c>
      <c r="I117" s="3">
        <v>0.86</v>
      </c>
      <c r="J117" s="3">
        <v>0.39</v>
      </c>
      <c r="K117" s="4">
        <v>2.62522175772139E-3</v>
      </c>
      <c r="L117" s="4">
        <v>6.9299890965020206E-2</v>
      </c>
      <c r="M117" s="4">
        <v>2.55867600409618E-2</v>
      </c>
      <c r="N117" s="4">
        <v>-2.2114661796194202E-2</v>
      </c>
      <c r="O117" s="4">
        <v>-5.2416808623120198E-3</v>
      </c>
      <c r="P117" s="5">
        <f t="shared" si="5"/>
        <v>-0.38737477824227862</v>
      </c>
      <c r="Q117" s="5">
        <f t="shared" si="6"/>
        <v>-0.32070010903497981</v>
      </c>
      <c r="R117" s="5">
        <f t="shared" si="7"/>
        <v>-0.36441323995903824</v>
      </c>
      <c r="S117" s="5">
        <f t="shared" si="8"/>
        <v>-0.41211466179619421</v>
      </c>
      <c r="T117" s="5">
        <f t="shared" si="9"/>
        <v>-0.39524168086231204</v>
      </c>
    </row>
    <row r="118" spans="1:20" x14ac:dyDescent="0.3">
      <c r="A118" s="2">
        <v>45597</v>
      </c>
      <c r="B118" s="4">
        <v>62.668762999999998</v>
      </c>
      <c r="C118" s="4">
        <v>38.042448999999998</v>
      </c>
      <c r="D118" s="4">
        <v>56.390828999999997</v>
      </c>
      <c r="E118" s="4">
        <v>58.389657999999997</v>
      </c>
      <c r="F118" s="4">
        <v>50.354700000000001</v>
      </c>
      <c r="G118" s="3">
        <v>6.49</v>
      </c>
      <c r="H118" s="3">
        <v>4.46</v>
      </c>
      <c r="I118" s="3">
        <v>0.16</v>
      </c>
      <c r="J118" s="3">
        <v>0.4</v>
      </c>
      <c r="K118" s="4">
        <v>7.9028889363695606E-2</v>
      </c>
      <c r="L118" s="4">
        <v>4.2332831515388102E-2</v>
      </c>
      <c r="M118" s="4">
        <v>7.5738337447347204E-2</v>
      </c>
      <c r="N118" s="4">
        <v>-7.3851682330241294E-2</v>
      </c>
      <c r="O118" s="4">
        <v>0.15224808960328901</v>
      </c>
      <c r="P118" s="5">
        <f t="shared" si="5"/>
        <v>-0.3209711106363044</v>
      </c>
      <c r="Q118" s="5">
        <f t="shared" si="6"/>
        <v>-0.35766716848461194</v>
      </c>
      <c r="R118" s="5">
        <f t="shared" si="7"/>
        <v>-0.32426166255265282</v>
      </c>
      <c r="S118" s="5">
        <f t="shared" si="8"/>
        <v>-0.47385168233024133</v>
      </c>
      <c r="T118" s="5">
        <f t="shared" si="9"/>
        <v>-0.24775191039671102</v>
      </c>
    </row>
    <row r="119" spans="1:20" x14ac:dyDescent="0.3">
      <c r="A119" s="2">
        <v>45627</v>
      </c>
      <c r="B119" s="4">
        <v>62.450387999999997</v>
      </c>
      <c r="C119" s="4">
        <v>37.739655999999997</v>
      </c>
      <c r="D119" s="4">
        <v>48.461171</v>
      </c>
      <c r="E119" s="4">
        <v>58.993133</v>
      </c>
      <c r="F119" s="4">
        <v>50.780383999999998</v>
      </c>
      <c r="G119" s="3">
        <v>-3.17</v>
      </c>
      <c r="H119" s="3">
        <v>-2.71</v>
      </c>
      <c r="I119" s="3">
        <v>-2.99</v>
      </c>
      <c r="J119" s="3">
        <v>0.37</v>
      </c>
      <c r="K119" s="4">
        <v>-1.4780541729066799E-2</v>
      </c>
      <c r="L119" s="4">
        <v>-2.2682703085299401E-3</v>
      </c>
      <c r="M119" s="4">
        <v>-3.6974129201741202E-2</v>
      </c>
      <c r="N119" s="4">
        <v>2.79313767191267E-2</v>
      </c>
      <c r="O119" s="4">
        <v>-2.14033716215806E-2</v>
      </c>
      <c r="P119" s="5">
        <f t="shared" si="5"/>
        <v>-0.38478054172906678</v>
      </c>
      <c r="Q119" s="5">
        <f t="shared" si="6"/>
        <v>-0.37226827030852994</v>
      </c>
      <c r="R119" s="5">
        <f t="shared" si="7"/>
        <v>-0.4069741292017412</v>
      </c>
      <c r="S119" s="5">
        <f t="shared" si="8"/>
        <v>-0.34206862328087329</v>
      </c>
      <c r="T119" s="5">
        <f t="shared" si="9"/>
        <v>-0.39140337162158062</v>
      </c>
    </row>
    <row r="120" spans="1:20" x14ac:dyDescent="0.3">
      <c r="A120" s="2">
        <v>45658</v>
      </c>
      <c r="B120" s="4">
        <v>62.166120999999997</v>
      </c>
      <c r="C120" s="4">
        <v>37.739655999999997</v>
      </c>
      <c r="D120" s="4">
        <v>48.697735999999999</v>
      </c>
      <c r="E120" s="4">
        <v>59.753888000000003</v>
      </c>
      <c r="F120" s="4">
        <v>51.186447000000001</v>
      </c>
      <c r="G120" s="3">
        <v>2.8</v>
      </c>
      <c r="H120" s="3">
        <v>-1.97</v>
      </c>
      <c r="I120" s="3">
        <v>1.63</v>
      </c>
      <c r="J120" s="3">
        <v>0.37</v>
      </c>
      <c r="K120" s="4">
        <v>0.145991949844161</v>
      </c>
      <c r="L120" s="4">
        <v>6.1134261028008299E-2</v>
      </c>
      <c r="M120" s="4">
        <v>9.5639475838575599E-2</v>
      </c>
      <c r="N120" s="4">
        <v>-3.7692708721237501E-4</v>
      </c>
      <c r="O120" s="4">
        <v>6.6304045171672099E-2</v>
      </c>
      <c r="P120" s="5">
        <f t="shared" si="5"/>
        <v>-0.22400805015583899</v>
      </c>
      <c r="Q120" s="5">
        <f t="shared" si="6"/>
        <v>-0.30886573897199171</v>
      </c>
      <c r="R120" s="5">
        <f t="shared" si="7"/>
        <v>-0.27436052416142442</v>
      </c>
      <c r="S120" s="5">
        <f t="shared" si="8"/>
        <v>-0.37037692708721237</v>
      </c>
      <c r="T120" s="5">
        <f t="shared" si="9"/>
        <v>-0.3036959548283279</v>
      </c>
    </row>
    <row r="121" spans="1:20" x14ac:dyDescent="0.3">
      <c r="A121" s="2">
        <v>45689</v>
      </c>
      <c r="B121" s="4">
        <v>61.989248000000003</v>
      </c>
      <c r="C121" s="4">
        <v>37.956764999999997</v>
      </c>
      <c r="D121" s="4">
        <v>49.743003999999999</v>
      </c>
      <c r="E121" s="4">
        <v>59.654076000000003</v>
      </c>
      <c r="F121" s="4">
        <v>51.825491999999997</v>
      </c>
      <c r="G121" s="3">
        <v>-2.44</v>
      </c>
      <c r="H121" s="3">
        <v>-5.79</v>
      </c>
      <c r="I121" s="3">
        <v>4.91</v>
      </c>
      <c r="J121" s="3">
        <v>0.33</v>
      </c>
      <c r="K121" s="4">
        <v>1.3970303796883399E-2</v>
      </c>
      <c r="L121" s="4">
        <v>0.17602884233243901</v>
      </c>
      <c r="M121" s="4">
        <v>2.22077974471268E-3</v>
      </c>
      <c r="N121" s="4">
        <v>1.3082312473629801E-2</v>
      </c>
      <c r="O121" s="4">
        <v>-2.1948472454811199E-2</v>
      </c>
      <c r="P121" s="5">
        <f t="shared" si="5"/>
        <v>-0.31602969620311661</v>
      </c>
      <c r="Q121" s="5">
        <f t="shared" si="6"/>
        <v>-0.153971157667561</v>
      </c>
      <c r="R121" s="5">
        <f t="shared" si="7"/>
        <v>-0.32777922025528733</v>
      </c>
      <c r="S121" s="5">
        <f t="shared" si="8"/>
        <v>-0.31691768752637023</v>
      </c>
      <c r="T121" s="5">
        <f t="shared" si="9"/>
        <v>-0.3519484724548112</v>
      </c>
    </row>
    <row r="122" spans="1:20" x14ac:dyDescent="0.3">
      <c r="A122" s="3"/>
      <c r="F122"/>
      <c r="G122"/>
      <c r="H122"/>
      <c r="I122"/>
      <c r="J122"/>
      <c r="K122"/>
      <c r="L122"/>
      <c r="M122"/>
      <c r="N122"/>
      <c r="O122"/>
    </row>
    <row r="123" spans="1:20" x14ac:dyDescent="0.3">
      <c r="A1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SEBASTIANO MIRABILE</cp:lastModifiedBy>
  <dcterms:created xsi:type="dcterms:W3CDTF">2025-05-27T19:12:41Z</dcterms:created>
  <dcterms:modified xsi:type="dcterms:W3CDTF">2025-05-28T06:59:51Z</dcterms:modified>
</cp:coreProperties>
</file>